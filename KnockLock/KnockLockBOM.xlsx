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rojects\pe04\KnockLock\"/>
    </mc:Choice>
  </mc:AlternateContent>
  <xr:revisionPtr revIDLastSave="0" documentId="13_ncr:9_{CE0B642D-5F42-4449-863E-AC18F99B77C6}" xr6:coauthVersionLast="47" xr6:coauthVersionMax="47" xr10:uidLastSave="{00000000-0000-0000-0000-000000000000}"/>
  <bookViews>
    <workbookView xWindow="-108" yWindow="-108" windowWidth="23256" windowHeight="12576" activeTab="1" xr2:uid="{CC024ECC-F0E6-4BC4-A974-36C91340B405}"/>
  </bookViews>
  <sheets>
    <sheet name="KnockLockBOM" sheetId="1" r:id="rId1"/>
    <sheet name="BOM-for-PPT" sheetId="2" r:id="rId2"/>
  </sheets>
  <calcPr calcId="0"/>
</workbook>
</file>

<file path=xl/calcChain.xml><?xml version="1.0" encoding="utf-8"?>
<calcChain xmlns="http://schemas.openxmlformats.org/spreadsheetml/2006/main">
  <c r="C9" i="2" l="1"/>
  <c r="C12" i="2" s="1"/>
  <c r="C11" i="2"/>
  <c r="C8" i="2"/>
  <c r="C7" i="2"/>
  <c r="C6" i="2"/>
  <c r="C5" i="2"/>
  <c r="C4" i="2"/>
  <c r="C3" i="2"/>
  <c r="C2" i="2"/>
  <c r="G2" i="2" l="1"/>
</calcChain>
</file>

<file path=xl/sharedStrings.xml><?xml version="1.0" encoding="utf-8"?>
<sst xmlns="http://schemas.openxmlformats.org/spreadsheetml/2006/main" count="212" uniqueCount="146">
  <si>
    <t>Item Number</t>
  </si>
  <si>
    <t>Schematic Reference</t>
  </si>
  <si>
    <t>Qty</t>
  </si>
  <si>
    <t>Component</t>
  </si>
  <si>
    <t>Part Number</t>
  </si>
  <si>
    <t>Manufacturer</t>
  </si>
  <si>
    <t>Vendor</t>
  </si>
  <si>
    <t>Price Per Unit</t>
  </si>
  <si>
    <t>Price</t>
  </si>
  <si>
    <t>U1</t>
  </si>
  <si>
    <t>Capacitive Accelerometer</t>
  </si>
  <si>
    <t>ADXL345BCCZ-RL7</t>
  </si>
  <si>
    <t>Analog Devices</t>
  </si>
  <si>
    <t>Mouser</t>
  </si>
  <si>
    <t>Elect Cost</t>
  </si>
  <si>
    <t>-</t>
  </si>
  <si>
    <t>Servo Motor</t>
  </si>
  <si>
    <t>SG90</t>
  </si>
  <si>
    <t>Soldered</t>
  </si>
  <si>
    <t>HSRW</t>
  </si>
  <si>
    <t>Mech Cost</t>
  </si>
  <si>
    <t>Q1</t>
  </si>
  <si>
    <t>Bipolar NPN Transistor</t>
  </si>
  <si>
    <t>BC547B</t>
  </si>
  <si>
    <t>CDIL</t>
  </si>
  <si>
    <t>PCB Cost</t>
  </si>
  <si>
    <t>Q2</t>
  </si>
  <si>
    <t>P-channel MOSFET</t>
  </si>
  <si>
    <t>IRLML6402TRPBF</t>
  </si>
  <si>
    <t>Infineon Technologies</t>
  </si>
  <si>
    <t>Total Cost</t>
  </si>
  <si>
    <t>IC2</t>
  </si>
  <si>
    <t>ESP32 Microcontroller</t>
  </si>
  <si>
    <t>ESP32-C3-WROOM-02-N4</t>
  </si>
  <si>
    <t>Expressif Systems</t>
  </si>
  <si>
    <t>D5</t>
  </si>
  <si>
    <t>Red LED</t>
  </si>
  <si>
    <t>DLE3MMR</t>
  </si>
  <si>
    <t>Hottech</t>
  </si>
  <si>
    <t>D6</t>
  </si>
  <si>
    <t>Yellow LED</t>
  </si>
  <si>
    <t>DLE3MMY</t>
  </si>
  <si>
    <t>D7</t>
  </si>
  <si>
    <t>Green LED</t>
  </si>
  <si>
    <t>DLE3MMG</t>
  </si>
  <si>
    <t>LS1</t>
  </si>
  <si>
    <t>Buzzer</t>
  </si>
  <si>
    <t>PKM22EPPH4001-B0</t>
  </si>
  <si>
    <t>Murata Electronics</t>
  </si>
  <si>
    <t>S1, S2</t>
  </si>
  <si>
    <t>Push Button</t>
  </si>
  <si>
    <t>TS02-66-60-BK-260-LCR-D</t>
  </si>
  <si>
    <t>Samesky</t>
  </si>
  <si>
    <t>IC1</t>
  </si>
  <si>
    <t>3.3V Output Voltage Regulator</t>
  </si>
  <si>
    <t>LM2575-3.3WT</t>
  </si>
  <si>
    <t>Microchip Technology</t>
  </si>
  <si>
    <t>D1,D2</t>
  </si>
  <si>
    <t>TVS Diode</t>
  </si>
  <si>
    <t>1N5908</t>
  </si>
  <si>
    <t>STMicroelectronics</t>
  </si>
  <si>
    <t>D3,D4</t>
  </si>
  <si>
    <t>Schottky Diode</t>
  </si>
  <si>
    <t>1N5822</t>
  </si>
  <si>
    <t>MIC Electronics</t>
  </si>
  <si>
    <t>F1,F2</t>
  </si>
  <si>
    <t>Resettable Fuse</t>
  </si>
  <si>
    <t>PFRA110</t>
  </si>
  <si>
    <t>Schurter</t>
  </si>
  <si>
    <t>Battery Holder</t>
  </si>
  <si>
    <t>Keystone Electronics</t>
  </si>
  <si>
    <t xml:space="preserve">AA Battery </t>
  </si>
  <si>
    <t>L1</t>
  </si>
  <si>
    <t>330uH Inductor</t>
  </si>
  <si>
    <t>RFC0810B-334KE</t>
  </si>
  <si>
    <t>Coilcraft</t>
  </si>
  <si>
    <t>C1,C4,C5,C10,C11,C12</t>
  </si>
  <si>
    <t>0.1uF Ceramic Capacitor SMT (0805)</t>
  </si>
  <si>
    <t>B37873U5101S</t>
  </si>
  <si>
    <t>EPCOS</t>
  </si>
  <si>
    <t>C2</t>
  </si>
  <si>
    <t>100uF Electrolytic Capacitor</t>
  </si>
  <si>
    <t>EEU-FC1C101H</t>
  </si>
  <si>
    <t>Panasonic</t>
  </si>
  <si>
    <t>C3</t>
  </si>
  <si>
    <t>1uF Electrolytic Capacitor</t>
  </si>
  <si>
    <t>RA1/25-R</t>
  </si>
  <si>
    <t>Jameco</t>
  </si>
  <si>
    <t>C6,C8,C9</t>
  </si>
  <si>
    <t>10uF Electrolytic Capacitor</t>
  </si>
  <si>
    <t>EEU-FR1H100</t>
  </si>
  <si>
    <t>C7</t>
  </si>
  <si>
    <t>330uF Electrolytic Capacitor</t>
  </si>
  <si>
    <t>EEU-FR1E331</t>
  </si>
  <si>
    <t>J1</t>
  </si>
  <si>
    <t>Male 2 Pin Header</t>
  </si>
  <si>
    <t>J2</t>
  </si>
  <si>
    <t>Female 2 Pin Header</t>
  </si>
  <si>
    <t>J3</t>
  </si>
  <si>
    <t>Male JST 2 Pin Header</t>
  </si>
  <si>
    <t>J4</t>
  </si>
  <si>
    <t>Micro USB B</t>
  </si>
  <si>
    <t>USB3145-30-1-A</t>
  </si>
  <si>
    <t>GCT</t>
  </si>
  <si>
    <t>J5</t>
  </si>
  <si>
    <t>Male JST 3 Pin Header</t>
  </si>
  <si>
    <t>R1,R4,R5,R7</t>
  </si>
  <si>
    <t>10kOhms</t>
  </si>
  <si>
    <t>RC1206FR-0710KL</t>
  </si>
  <si>
    <t>YAGEO</t>
  </si>
  <si>
    <t>R2</t>
  </si>
  <si>
    <t>6.8kOhms</t>
  </si>
  <si>
    <t>RC1206FR-076K8L</t>
  </si>
  <si>
    <t>R3,R6</t>
  </si>
  <si>
    <t>4k7Ohms</t>
  </si>
  <si>
    <t>RC1206FR-074K7L</t>
  </si>
  <si>
    <t>R8</t>
  </si>
  <si>
    <t>100 Ohms</t>
  </si>
  <si>
    <t>RC1206FR-07100RL</t>
  </si>
  <si>
    <t>R9</t>
  </si>
  <si>
    <t>100kOhms</t>
  </si>
  <si>
    <t>RC1206FR-07100KL</t>
  </si>
  <si>
    <t>R10,R11,R12</t>
  </si>
  <si>
    <t>27 Ohms</t>
  </si>
  <si>
    <t>RC1206FR-0727RL</t>
  </si>
  <si>
    <t>M2x6 Screw</t>
  </si>
  <si>
    <t>M2x20 Screw</t>
  </si>
  <si>
    <t>M3x15 Plastic Screw</t>
  </si>
  <si>
    <t>M3 Plastic Washer</t>
  </si>
  <si>
    <t>M3 Hex Nut</t>
  </si>
  <si>
    <t>3D Printed Housing</t>
  </si>
  <si>
    <t>HMI</t>
  </si>
  <si>
    <t>Comment</t>
  </si>
  <si>
    <t>Voltage Regulator</t>
  </si>
  <si>
    <t>Diodes, resettable fuses</t>
  </si>
  <si>
    <t>Power Supply</t>
  </si>
  <si>
    <t>Batteries and Battery holder</t>
  </si>
  <si>
    <t>3 LEDs, Buzzer, Buttons</t>
  </si>
  <si>
    <t>Elect</t>
  </si>
  <si>
    <t>Power Protection</t>
  </si>
  <si>
    <t>Housing</t>
  </si>
  <si>
    <t>3D Printed Housing, Screws</t>
  </si>
  <si>
    <t>PCB</t>
  </si>
  <si>
    <t>PCB from AISLER</t>
  </si>
  <si>
    <t>Semi-conductors, Passives, Connectors</t>
  </si>
  <si>
    <t>Electronic Misc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</si>
</sst>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F7875-5110-4060-B366-1779C89EFCFC}">
  <dimension ref="A1:O42"/>
  <sheetViews>
    <sheetView workbookViewId="0">
      <selection activeCell="D16" sqref="D16"/>
    </sheetView>
  </sheetViews>
  <sheetFormatPr defaultRowHeight="14.4" x14ac:dyDescent="0.3"/>
  <cols>
    <col min="4" max="4" width="13" customWidth="1"/>
    <col min="5" max="5" width="12.44140625" customWidth="1"/>
    <col min="6" max="6" width="13.8867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5" x14ac:dyDescent="0.3">
      <c r="A2">
        <v>1</v>
      </c>
      <c r="B2" t="s">
        <v>9</v>
      </c>
      <c r="C2">
        <v>1</v>
      </c>
      <c r="D2" t="s">
        <v>10</v>
      </c>
      <c r="E2" t="s">
        <v>11</v>
      </c>
      <c r="F2" t="s">
        <v>12</v>
      </c>
      <c r="G2" t="s">
        <v>13</v>
      </c>
      <c r="H2">
        <v>5.65</v>
      </c>
      <c r="I2">
        <v>5.65</v>
      </c>
      <c r="L2" t="s">
        <v>14</v>
      </c>
      <c r="M2">
        <v>26.61</v>
      </c>
      <c r="N2">
        <v>15.05</v>
      </c>
      <c r="O2">
        <v>11.56</v>
      </c>
    </row>
    <row r="3" spans="1:15" x14ac:dyDescent="0.3">
      <c r="A3">
        <v>2</v>
      </c>
      <c r="B3" t="s">
        <v>15</v>
      </c>
      <c r="C3">
        <v>1</v>
      </c>
      <c r="D3" t="s">
        <v>16</v>
      </c>
      <c r="E3" t="s">
        <v>17</v>
      </c>
      <c r="F3" t="s">
        <v>18</v>
      </c>
      <c r="G3" t="s">
        <v>19</v>
      </c>
      <c r="H3">
        <v>5.07</v>
      </c>
      <c r="I3">
        <v>5.07</v>
      </c>
      <c r="L3" t="s">
        <v>20</v>
      </c>
      <c r="M3">
        <v>9.6999999999999993</v>
      </c>
    </row>
    <row r="4" spans="1:15" x14ac:dyDescent="0.3">
      <c r="A4">
        <v>3</v>
      </c>
      <c r="B4" t="s">
        <v>21</v>
      </c>
      <c r="C4">
        <v>1</v>
      </c>
      <c r="D4" t="s">
        <v>22</v>
      </c>
      <c r="E4" t="s">
        <v>23</v>
      </c>
      <c r="F4" t="s">
        <v>24</v>
      </c>
      <c r="G4" t="s">
        <v>19</v>
      </c>
      <c r="H4">
        <v>0.04</v>
      </c>
      <c r="I4">
        <v>0.04</v>
      </c>
      <c r="L4" t="s">
        <v>25</v>
      </c>
      <c r="M4">
        <v>7.24</v>
      </c>
    </row>
    <row r="5" spans="1:15" x14ac:dyDescent="0.3">
      <c r="A5">
        <v>4</v>
      </c>
      <c r="B5" t="s">
        <v>26</v>
      </c>
      <c r="C5">
        <v>1</v>
      </c>
      <c r="D5" t="s">
        <v>27</v>
      </c>
      <c r="E5" t="s">
        <v>28</v>
      </c>
      <c r="F5" t="s">
        <v>29</v>
      </c>
      <c r="G5" t="s">
        <v>13</v>
      </c>
      <c r="H5">
        <v>0.35</v>
      </c>
      <c r="I5">
        <v>0.35</v>
      </c>
      <c r="L5" t="s">
        <v>30</v>
      </c>
      <c r="M5">
        <v>43.55</v>
      </c>
    </row>
    <row r="6" spans="1:15" x14ac:dyDescent="0.3">
      <c r="A6">
        <v>5</v>
      </c>
      <c r="B6" t="s">
        <v>31</v>
      </c>
      <c r="C6">
        <v>1</v>
      </c>
      <c r="D6" t="s">
        <v>32</v>
      </c>
      <c r="E6" t="s">
        <v>33</v>
      </c>
      <c r="F6" t="s">
        <v>34</v>
      </c>
      <c r="G6" t="s">
        <v>13</v>
      </c>
      <c r="H6">
        <v>3.12</v>
      </c>
      <c r="I6">
        <v>3.12</v>
      </c>
    </row>
    <row r="7" spans="1:15" x14ac:dyDescent="0.3">
      <c r="A7">
        <v>6</v>
      </c>
      <c r="B7" t="s">
        <v>35</v>
      </c>
      <c r="C7">
        <v>1</v>
      </c>
      <c r="D7" t="s">
        <v>36</v>
      </c>
      <c r="E7" t="s">
        <v>37</v>
      </c>
      <c r="F7" t="s">
        <v>38</v>
      </c>
      <c r="G7" t="s">
        <v>19</v>
      </c>
      <c r="H7">
        <v>0.06</v>
      </c>
      <c r="I7">
        <v>0.06</v>
      </c>
    </row>
    <row r="8" spans="1:15" x14ac:dyDescent="0.3">
      <c r="A8">
        <v>7</v>
      </c>
      <c r="B8" t="s">
        <v>39</v>
      </c>
      <c r="C8">
        <v>1</v>
      </c>
      <c r="D8" t="s">
        <v>40</v>
      </c>
      <c r="E8" t="s">
        <v>41</v>
      </c>
      <c r="F8" t="s">
        <v>38</v>
      </c>
      <c r="G8" t="s">
        <v>19</v>
      </c>
      <c r="H8">
        <v>0.06</v>
      </c>
      <c r="I8">
        <v>0.06</v>
      </c>
    </row>
    <row r="9" spans="1:15" x14ac:dyDescent="0.3">
      <c r="A9">
        <v>8</v>
      </c>
      <c r="B9" t="s">
        <v>42</v>
      </c>
      <c r="C9">
        <v>1</v>
      </c>
      <c r="D9" t="s">
        <v>43</v>
      </c>
      <c r="E9" t="s">
        <v>44</v>
      </c>
      <c r="F9" t="s">
        <v>38</v>
      </c>
      <c r="G9" t="s">
        <v>19</v>
      </c>
      <c r="H9">
        <v>0.06</v>
      </c>
      <c r="I9">
        <v>0.06</v>
      </c>
    </row>
    <row r="10" spans="1:15" x14ac:dyDescent="0.3">
      <c r="A10">
        <v>9</v>
      </c>
      <c r="B10" t="s">
        <v>45</v>
      </c>
      <c r="C10">
        <v>1</v>
      </c>
      <c r="D10" t="s">
        <v>46</v>
      </c>
      <c r="E10" t="s">
        <v>47</v>
      </c>
      <c r="F10" t="s">
        <v>48</v>
      </c>
      <c r="G10" t="s">
        <v>13</v>
      </c>
      <c r="H10">
        <v>0.48</v>
      </c>
      <c r="I10">
        <v>0.48</v>
      </c>
    </row>
    <row r="11" spans="1:15" x14ac:dyDescent="0.3">
      <c r="A11">
        <v>10</v>
      </c>
      <c r="B11" t="s">
        <v>49</v>
      </c>
      <c r="C11">
        <v>2</v>
      </c>
      <c r="D11" t="s">
        <v>50</v>
      </c>
      <c r="E11" t="s">
        <v>51</v>
      </c>
      <c r="F11" t="s">
        <v>52</v>
      </c>
      <c r="G11" t="s">
        <v>13</v>
      </c>
      <c r="H11">
        <v>0.09</v>
      </c>
      <c r="I11">
        <v>0.18</v>
      </c>
    </row>
    <row r="12" spans="1:15" x14ac:dyDescent="0.3">
      <c r="A12">
        <v>11</v>
      </c>
      <c r="B12" t="s">
        <v>53</v>
      </c>
      <c r="C12">
        <v>1</v>
      </c>
      <c r="D12" t="s">
        <v>54</v>
      </c>
      <c r="E12" t="s">
        <v>55</v>
      </c>
      <c r="F12" t="s">
        <v>56</v>
      </c>
      <c r="G12" t="s">
        <v>13</v>
      </c>
      <c r="H12">
        <v>1.48</v>
      </c>
      <c r="I12">
        <v>1.48</v>
      </c>
    </row>
    <row r="13" spans="1:15" x14ac:dyDescent="0.3">
      <c r="A13">
        <v>12</v>
      </c>
      <c r="B13" t="s">
        <v>57</v>
      </c>
      <c r="C13">
        <v>2</v>
      </c>
      <c r="D13" t="s">
        <v>58</v>
      </c>
      <c r="E13" t="s">
        <v>59</v>
      </c>
      <c r="F13" t="s">
        <v>60</v>
      </c>
      <c r="G13" t="s">
        <v>19</v>
      </c>
      <c r="H13">
        <v>0.66</v>
      </c>
      <c r="I13">
        <v>1.32</v>
      </c>
    </row>
    <row r="14" spans="1:15" x14ac:dyDescent="0.3">
      <c r="A14">
        <v>13</v>
      </c>
      <c r="B14" t="s">
        <v>61</v>
      </c>
      <c r="C14">
        <v>2</v>
      </c>
      <c r="D14" t="s">
        <v>62</v>
      </c>
      <c r="E14" t="s">
        <v>63</v>
      </c>
      <c r="F14" t="s">
        <v>64</v>
      </c>
      <c r="G14" t="s">
        <v>19</v>
      </c>
      <c r="H14">
        <v>0.15</v>
      </c>
      <c r="I14">
        <v>0.3</v>
      </c>
    </row>
    <row r="15" spans="1:15" x14ac:dyDescent="0.3">
      <c r="A15">
        <v>14</v>
      </c>
      <c r="B15" t="s">
        <v>65</v>
      </c>
      <c r="C15">
        <v>2</v>
      </c>
      <c r="D15" t="s">
        <v>66</v>
      </c>
      <c r="E15" t="s">
        <v>67</v>
      </c>
      <c r="F15" t="s">
        <v>68</v>
      </c>
      <c r="G15" t="s">
        <v>19</v>
      </c>
      <c r="H15">
        <v>0.28000000000000003</v>
      </c>
      <c r="I15">
        <v>0.56000000000000005</v>
      </c>
    </row>
    <row r="16" spans="1:15" x14ac:dyDescent="0.3">
      <c r="A16">
        <v>15</v>
      </c>
      <c r="B16" t="s">
        <v>15</v>
      </c>
      <c r="C16">
        <v>1</v>
      </c>
      <c r="D16" t="s">
        <v>69</v>
      </c>
      <c r="E16">
        <v>2477</v>
      </c>
      <c r="F16" t="s">
        <v>70</v>
      </c>
      <c r="G16" t="s">
        <v>13</v>
      </c>
      <c r="H16">
        <v>1.87</v>
      </c>
      <c r="I16">
        <v>1.87</v>
      </c>
    </row>
    <row r="17" spans="1:9" x14ac:dyDescent="0.3">
      <c r="A17">
        <v>16</v>
      </c>
      <c r="B17" t="s">
        <v>15</v>
      </c>
      <c r="C17">
        <v>4</v>
      </c>
      <c r="D17" t="s">
        <v>71</v>
      </c>
      <c r="E17" t="s">
        <v>15</v>
      </c>
      <c r="F17" t="s">
        <v>15</v>
      </c>
      <c r="G17" t="s">
        <v>19</v>
      </c>
      <c r="H17">
        <v>0.3</v>
      </c>
      <c r="I17">
        <v>1.2</v>
      </c>
    </row>
    <row r="18" spans="1:9" x14ac:dyDescent="0.3">
      <c r="A18">
        <v>17</v>
      </c>
      <c r="B18" t="s">
        <v>72</v>
      </c>
      <c r="C18">
        <v>1</v>
      </c>
      <c r="D18" t="s">
        <v>73</v>
      </c>
      <c r="E18" t="s">
        <v>74</v>
      </c>
      <c r="F18" t="s">
        <v>75</v>
      </c>
      <c r="G18" t="s">
        <v>13</v>
      </c>
      <c r="H18">
        <v>1.26</v>
      </c>
      <c r="I18">
        <v>1.26</v>
      </c>
    </row>
    <row r="19" spans="1:9" x14ac:dyDescent="0.3">
      <c r="A19">
        <v>18</v>
      </c>
      <c r="B19" t="s">
        <v>76</v>
      </c>
      <c r="C19">
        <v>6</v>
      </c>
      <c r="D19" t="s">
        <v>77</v>
      </c>
      <c r="E19" t="s">
        <v>78</v>
      </c>
      <c r="F19" t="s">
        <v>79</v>
      </c>
      <c r="G19" t="s">
        <v>19</v>
      </c>
      <c r="H19">
        <v>0.11</v>
      </c>
      <c r="I19">
        <v>0.66</v>
      </c>
    </row>
    <row r="20" spans="1:9" x14ac:dyDescent="0.3">
      <c r="A20">
        <v>19</v>
      </c>
      <c r="B20" t="s">
        <v>80</v>
      </c>
      <c r="C20">
        <v>1</v>
      </c>
      <c r="D20" t="s">
        <v>81</v>
      </c>
      <c r="E20" t="s">
        <v>82</v>
      </c>
      <c r="F20" t="s">
        <v>83</v>
      </c>
      <c r="G20" t="s">
        <v>19</v>
      </c>
      <c r="H20">
        <v>0.14000000000000001</v>
      </c>
      <c r="I20">
        <v>0.14000000000000001</v>
      </c>
    </row>
    <row r="21" spans="1:9" x14ac:dyDescent="0.3">
      <c r="A21">
        <v>20</v>
      </c>
      <c r="B21" t="s">
        <v>84</v>
      </c>
      <c r="C21">
        <v>1</v>
      </c>
      <c r="D21" t="s">
        <v>85</v>
      </c>
      <c r="E21" t="s">
        <v>86</v>
      </c>
      <c r="F21" t="s">
        <v>87</v>
      </c>
      <c r="G21" t="s">
        <v>19</v>
      </c>
      <c r="H21">
        <v>0.02</v>
      </c>
      <c r="I21">
        <v>0.02</v>
      </c>
    </row>
    <row r="22" spans="1:9" x14ac:dyDescent="0.3">
      <c r="A22">
        <v>21</v>
      </c>
      <c r="B22" t="s">
        <v>88</v>
      </c>
      <c r="C22">
        <v>3</v>
      </c>
      <c r="D22" t="s">
        <v>89</v>
      </c>
      <c r="E22" t="s">
        <v>90</v>
      </c>
      <c r="F22" t="s">
        <v>83</v>
      </c>
      <c r="G22" t="s">
        <v>19</v>
      </c>
      <c r="H22">
        <v>0.11</v>
      </c>
      <c r="I22">
        <v>0.33</v>
      </c>
    </row>
    <row r="23" spans="1:9" x14ac:dyDescent="0.3">
      <c r="A23">
        <v>22</v>
      </c>
      <c r="B23" t="s">
        <v>91</v>
      </c>
      <c r="C23">
        <v>1</v>
      </c>
      <c r="D23" t="s">
        <v>92</v>
      </c>
      <c r="E23" t="s">
        <v>93</v>
      </c>
      <c r="F23" t="s">
        <v>83</v>
      </c>
      <c r="G23" t="s">
        <v>19</v>
      </c>
      <c r="H23">
        <v>0.26</v>
      </c>
      <c r="I23">
        <v>0.26</v>
      </c>
    </row>
    <row r="24" spans="1:9" x14ac:dyDescent="0.3">
      <c r="A24">
        <v>23</v>
      </c>
      <c r="B24" t="s">
        <v>94</v>
      </c>
      <c r="C24">
        <v>1</v>
      </c>
      <c r="D24" t="s">
        <v>95</v>
      </c>
      <c r="E24" t="s">
        <v>15</v>
      </c>
      <c r="F24" t="s">
        <v>15</v>
      </c>
      <c r="G24" t="s">
        <v>19</v>
      </c>
      <c r="H24">
        <v>0.08</v>
      </c>
      <c r="I24">
        <v>0.08</v>
      </c>
    </row>
    <row r="25" spans="1:9" x14ac:dyDescent="0.3">
      <c r="A25">
        <v>24</v>
      </c>
      <c r="B25" t="s">
        <v>96</v>
      </c>
      <c r="C25">
        <v>1</v>
      </c>
      <c r="D25" t="s">
        <v>97</v>
      </c>
      <c r="E25" t="s">
        <v>15</v>
      </c>
      <c r="F25" t="s">
        <v>15</v>
      </c>
      <c r="G25" t="s">
        <v>19</v>
      </c>
      <c r="H25">
        <v>0.1</v>
      </c>
      <c r="I25">
        <v>0.1</v>
      </c>
    </row>
    <row r="26" spans="1:9" x14ac:dyDescent="0.3">
      <c r="A26">
        <v>25</v>
      </c>
      <c r="B26" t="s">
        <v>98</v>
      </c>
      <c r="C26">
        <v>1</v>
      </c>
      <c r="D26" t="s">
        <v>99</v>
      </c>
      <c r="E26" t="s">
        <v>15</v>
      </c>
      <c r="F26" t="s">
        <v>15</v>
      </c>
      <c r="G26" t="s">
        <v>19</v>
      </c>
      <c r="H26">
        <v>0.1</v>
      </c>
      <c r="I26">
        <v>0.1</v>
      </c>
    </row>
    <row r="27" spans="1:9" x14ac:dyDescent="0.3">
      <c r="A27">
        <v>26</v>
      </c>
      <c r="B27" t="s">
        <v>100</v>
      </c>
      <c r="C27">
        <v>1</v>
      </c>
      <c r="D27" t="s">
        <v>101</v>
      </c>
      <c r="E27" t="s">
        <v>102</v>
      </c>
      <c r="F27" t="s">
        <v>103</v>
      </c>
      <c r="G27" t="s">
        <v>13</v>
      </c>
      <c r="H27">
        <v>0.66</v>
      </c>
      <c r="I27">
        <v>0.66</v>
      </c>
    </row>
    <row r="28" spans="1:9" x14ac:dyDescent="0.3">
      <c r="A28">
        <v>27</v>
      </c>
      <c r="B28" t="s">
        <v>104</v>
      </c>
      <c r="C28">
        <v>1</v>
      </c>
      <c r="D28" t="s">
        <v>105</v>
      </c>
      <c r="E28" t="s">
        <v>15</v>
      </c>
      <c r="F28" t="s">
        <v>15</v>
      </c>
      <c r="G28" t="s">
        <v>19</v>
      </c>
      <c r="H28">
        <v>0.12</v>
      </c>
      <c r="I28">
        <v>0.12</v>
      </c>
    </row>
    <row r="29" spans="1:9" x14ac:dyDescent="0.3">
      <c r="A29">
        <v>28</v>
      </c>
      <c r="B29" t="s">
        <v>106</v>
      </c>
      <c r="C29">
        <v>4</v>
      </c>
      <c r="D29" t="s">
        <v>107</v>
      </c>
      <c r="E29" t="s">
        <v>108</v>
      </c>
      <c r="F29" t="s">
        <v>109</v>
      </c>
      <c r="G29" t="s">
        <v>19</v>
      </c>
      <c r="H29">
        <v>0.09</v>
      </c>
      <c r="I29">
        <v>0.36</v>
      </c>
    </row>
    <row r="30" spans="1:9" x14ac:dyDescent="0.3">
      <c r="A30">
        <v>29</v>
      </c>
      <c r="B30" t="s">
        <v>110</v>
      </c>
      <c r="C30">
        <v>1</v>
      </c>
      <c r="D30" t="s">
        <v>111</v>
      </c>
      <c r="E30" t="s">
        <v>112</v>
      </c>
      <c r="F30" t="s">
        <v>109</v>
      </c>
      <c r="G30" t="s">
        <v>19</v>
      </c>
      <c r="H30">
        <v>0.09</v>
      </c>
      <c r="I30">
        <v>0.09</v>
      </c>
    </row>
    <row r="31" spans="1:9" x14ac:dyDescent="0.3">
      <c r="A31">
        <v>30</v>
      </c>
      <c r="B31" t="s">
        <v>113</v>
      </c>
      <c r="C31">
        <v>2</v>
      </c>
      <c r="D31" t="s">
        <v>114</v>
      </c>
      <c r="E31" t="s">
        <v>115</v>
      </c>
      <c r="F31" t="s">
        <v>109</v>
      </c>
      <c r="G31" t="s">
        <v>19</v>
      </c>
      <c r="H31">
        <v>0.09</v>
      </c>
      <c r="I31">
        <v>0.18</v>
      </c>
    </row>
    <row r="32" spans="1:9" x14ac:dyDescent="0.3">
      <c r="A32">
        <v>31</v>
      </c>
      <c r="B32" t="s">
        <v>116</v>
      </c>
      <c r="C32">
        <v>1</v>
      </c>
      <c r="D32" t="s">
        <v>117</v>
      </c>
      <c r="E32" t="s">
        <v>118</v>
      </c>
      <c r="F32" t="s">
        <v>109</v>
      </c>
      <c r="G32" t="s">
        <v>19</v>
      </c>
      <c r="H32">
        <v>0.09</v>
      </c>
      <c r="I32">
        <v>0.09</v>
      </c>
    </row>
    <row r="33" spans="1:9" x14ac:dyDescent="0.3">
      <c r="A33">
        <v>32</v>
      </c>
      <c r="B33" t="s">
        <v>119</v>
      </c>
      <c r="C33">
        <v>1</v>
      </c>
      <c r="D33" t="s">
        <v>120</v>
      </c>
      <c r="E33" t="s">
        <v>121</v>
      </c>
      <c r="F33" t="s">
        <v>109</v>
      </c>
      <c r="G33" t="s">
        <v>19</v>
      </c>
      <c r="H33">
        <v>0.09</v>
      </c>
      <c r="I33">
        <v>0.09</v>
      </c>
    </row>
    <row r="34" spans="1:9" x14ac:dyDescent="0.3">
      <c r="A34">
        <v>33</v>
      </c>
      <c r="B34" t="s">
        <v>122</v>
      </c>
      <c r="C34">
        <v>3</v>
      </c>
      <c r="D34" t="s">
        <v>123</v>
      </c>
      <c r="E34" t="s">
        <v>124</v>
      </c>
      <c r="F34" t="s">
        <v>109</v>
      </c>
      <c r="G34" t="s">
        <v>19</v>
      </c>
      <c r="H34">
        <v>0.09</v>
      </c>
      <c r="I34">
        <v>0.27</v>
      </c>
    </row>
    <row r="36" spans="1:9" x14ac:dyDescent="0.3">
      <c r="A36" t="s">
        <v>0</v>
      </c>
      <c r="C36" t="s">
        <v>2</v>
      </c>
      <c r="D36" t="s">
        <v>3</v>
      </c>
      <c r="E36" t="s">
        <v>7</v>
      </c>
      <c r="F36" t="s">
        <v>8</v>
      </c>
    </row>
    <row r="37" spans="1:9" x14ac:dyDescent="0.3">
      <c r="A37">
        <v>35</v>
      </c>
      <c r="C37">
        <v>7</v>
      </c>
      <c r="D37" t="s">
        <v>125</v>
      </c>
      <c r="E37">
        <v>0.11</v>
      </c>
      <c r="F37">
        <v>0.77</v>
      </c>
    </row>
    <row r="38" spans="1:9" x14ac:dyDescent="0.3">
      <c r="A38">
        <v>36</v>
      </c>
      <c r="C38">
        <v>2</v>
      </c>
      <c r="D38" t="s">
        <v>126</v>
      </c>
      <c r="E38">
        <v>0.14000000000000001</v>
      </c>
      <c r="F38">
        <v>0.28000000000000003</v>
      </c>
    </row>
    <row r="39" spans="1:9" x14ac:dyDescent="0.3">
      <c r="A39">
        <v>37</v>
      </c>
      <c r="C39">
        <v>1</v>
      </c>
      <c r="D39" t="s">
        <v>127</v>
      </c>
      <c r="E39">
        <v>0.08</v>
      </c>
      <c r="F39">
        <v>0.08</v>
      </c>
    </row>
    <row r="40" spans="1:9" x14ac:dyDescent="0.3">
      <c r="A40">
        <v>38</v>
      </c>
      <c r="C40">
        <v>7</v>
      </c>
      <c r="D40" t="s">
        <v>128</v>
      </c>
      <c r="E40">
        <v>0.01</v>
      </c>
      <c r="F40">
        <v>7.0000000000000007E-2</v>
      </c>
    </row>
    <row r="41" spans="1:9" x14ac:dyDescent="0.3">
      <c r="A41">
        <v>39</v>
      </c>
      <c r="C41">
        <v>1</v>
      </c>
      <c r="D41" t="s">
        <v>129</v>
      </c>
      <c r="E41">
        <v>7.0000000000000007E-2</v>
      </c>
      <c r="F41">
        <v>7.0000000000000007E-2</v>
      </c>
    </row>
    <row r="42" spans="1:9" x14ac:dyDescent="0.3">
      <c r="A42">
        <v>40</v>
      </c>
      <c r="C42">
        <v>1</v>
      </c>
      <c r="D42" t="s">
        <v>130</v>
      </c>
      <c r="E42">
        <v>8.43</v>
      </c>
      <c r="F42">
        <v>8.43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7D340-7378-4D62-9B53-B903358DF03B}">
  <dimension ref="A1:G12"/>
  <sheetViews>
    <sheetView tabSelected="1" workbookViewId="0">
      <selection activeCell="H15" sqref="H15"/>
    </sheetView>
  </sheetViews>
  <sheetFormatPr defaultRowHeight="14.4" x14ac:dyDescent="0.3"/>
  <cols>
    <col min="1" max="1" width="22.44140625" customWidth="1"/>
    <col min="2" max="2" width="24.21875" customWidth="1"/>
    <col min="3" max="3" width="12.6640625" customWidth="1"/>
  </cols>
  <sheetData>
    <row r="1" spans="1:7" x14ac:dyDescent="0.3">
      <c r="A1" t="s">
        <v>3</v>
      </c>
      <c r="B1" t="s">
        <v>132</v>
      </c>
      <c r="C1" t="s">
        <v>8</v>
      </c>
    </row>
    <row r="2" spans="1:7" x14ac:dyDescent="0.3">
      <c r="A2" t="s">
        <v>10</v>
      </c>
      <c r="B2" t="s">
        <v>11</v>
      </c>
      <c r="C2">
        <f>KnockLockBOM!I2</f>
        <v>5.65</v>
      </c>
      <c r="F2" t="s">
        <v>138</v>
      </c>
      <c r="G2">
        <f>SUM(C2:C9)</f>
        <v>26.61</v>
      </c>
    </row>
    <row r="3" spans="1:7" x14ac:dyDescent="0.3">
      <c r="A3" t="s">
        <v>16</v>
      </c>
      <c r="B3" t="s">
        <v>17</v>
      </c>
      <c r="C3">
        <f>KnockLockBOM!I3</f>
        <v>5.07</v>
      </c>
    </row>
    <row r="4" spans="1:7" x14ac:dyDescent="0.3">
      <c r="A4" t="s">
        <v>32</v>
      </c>
      <c r="B4" t="s">
        <v>33</v>
      </c>
      <c r="C4">
        <f>KnockLockBOM!I6</f>
        <v>3.12</v>
      </c>
    </row>
    <row r="5" spans="1:7" x14ac:dyDescent="0.3">
      <c r="A5" t="s">
        <v>131</v>
      </c>
      <c r="B5" t="s">
        <v>137</v>
      </c>
      <c r="C5">
        <f>SUM(KnockLockBOM!I7:I11)</f>
        <v>0.83999999999999986</v>
      </c>
    </row>
    <row r="6" spans="1:7" x14ac:dyDescent="0.3">
      <c r="A6" t="s">
        <v>133</v>
      </c>
      <c r="B6" t="s">
        <v>55</v>
      </c>
      <c r="C6">
        <f>KnockLockBOM!I12</f>
        <v>1.48</v>
      </c>
    </row>
    <row r="7" spans="1:7" x14ac:dyDescent="0.3">
      <c r="A7" t="s">
        <v>139</v>
      </c>
      <c r="B7" t="s">
        <v>134</v>
      </c>
      <c r="C7">
        <f>SUM(KnockLockBOM!I13,KnockLockBOM!I15)</f>
        <v>1.8800000000000001</v>
      </c>
    </row>
    <row r="8" spans="1:7" x14ac:dyDescent="0.3">
      <c r="A8" t="s">
        <v>135</v>
      </c>
      <c r="B8" t="s">
        <v>136</v>
      </c>
      <c r="C8">
        <f>SUM(KnockLockBOM!I16:I17)</f>
        <v>3.0700000000000003</v>
      </c>
    </row>
    <row r="9" spans="1:7" x14ac:dyDescent="0.3">
      <c r="A9" t="s">
        <v>145</v>
      </c>
      <c r="B9" t="s">
        <v>144</v>
      </c>
      <c r="C9">
        <f>SUM(KnockLockBOM!I4:I5,KnockLockBOM!I14,KnockLockBOM!I18:I34)</f>
        <v>5.5</v>
      </c>
    </row>
    <row r="10" spans="1:7" x14ac:dyDescent="0.3">
      <c r="A10" t="s">
        <v>142</v>
      </c>
      <c r="B10" t="s">
        <v>143</v>
      </c>
      <c r="C10">
        <v>7.24</v>
      </c>
    </row>
    <row r="11" spans="1:7" x14ac:dyDescent="0.3">
      <c r="A11" t="s">
        <v>140</v>
      </c>
      <c r="B11" t="s">
        <v>141</v>
      </c>
      <c r="C11">
        <f>SUM(KnockLockBOM!F37:F42)</f>
        <v>9.6999999999999993</v>
      </c>
    </row>
    <row r="12" spans="1:7" x14ac:dyDescent="0.3">
      <c r="C12">
        <f>SUM(C2:C11)</f>
        <v>43.55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KnockLockBOM</vt:lpstr>
      <vt:lpstr>BOM-for-PPT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chin cheong</cp:lastModifiedBy>
  <dcterms:created xsi:type="dcterms:W3CDTF">2026-01-18T19:54:54Z</dcterms:created>
  <dcterms:modified xsi:type="dcterms:W3CDTF">2026-01-18T20:12:32Z</dcterms:modified>
</cp:coreProperties>
</file>