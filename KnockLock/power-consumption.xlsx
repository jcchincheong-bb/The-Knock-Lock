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rojects\pe04\KnockLock\"/>
    </mc:Choice>
  </mc:AlternateContent>
  <xr:revisionPtr revIDLastSave="0" documentId="13_ncr:1_{2E1410BD-BD98-4899-B16E-7943B4925282}" xr6:coauthVersionLast="47" xr6:coauthVersionMax="47" xr10:uidLastSave="{00000000-0000-0000-0000-000000000000}"/>
  <bookViews>
    <workbookView xWindow="-108" yWindow="-108" windowWidth="23256" windowHeight="12576" xr2:uid="{9EBDFEB5-E7BE-405E-AB9C-5B857E0528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5" i="1"/>
  <c r="D5" i="1" s="1"/>
  <c r="C4" i="1"/>
  <c r="D4" i="1" s="1"/>
  <c r="C3" i="1"/>
  <c r="D3" i="1" s="1"/>
  <c r="D2" i="1"/>
  <c r="D6" i="1" l="1"/>
  <c r="B9" i="1" s="1"/>
  <c r="B11" i="1" l="1"/>
  <c r="B12" i="1" s="1"/>
  <c r="B10" i="1"/>
</calcChain>
</file>

<file path=xl/sharedStrings.xml><?xml version="1.0" encoding="utf-8"?>
<sst xmlns="http://schemas.openxmlformats.org/spreadsheetml/2006/main" count="20" uniqueCount="19">
  <si>
    <t>Mode</t>
  </si>
  <si>
    <t>Average Current [mA]</t>
  </si>
  <si>
    <t>Sleep</t>
  </si>
  <si>
    <t>Unlocked</t>
  </si>
  <si>
    <t>Locked</t>
  </si>
  <si>
    <t>Programming Mode</t>
  </si>
  <si>
    <t>Assumed Time per Day [h]</t>
  </si>
  <si>
    <t>Idle (upon Start-up)</t>
  </si>
  <si>
    <t>Times Opened in a Day</t>
  </si>
  <si>
    <t>Times Programmed a Day</t>
  </si>
  <si>
    <t>Average Time Programming [s]</t>
  </si>
  <si>
    <t>Average Time Box is Unlocked [s]</t>
  </si>
  <si>
    <t>Average Time Box is Locked [s]</t>
  </si>
  <si>
    <t>Average Power Consumption [mW]</t>
  </si>
  <si>
    <t>Voltage [V]</t>
  </si>
  <si>
    <t>Battery Capacity [mAh]</t>
  </si>
  <si>
    <t>Battery Life [h]</t>
  </si>
  <si>
    <t>Battery Life [days]</t>
  </si>
  <si>
    <t>Average Current  [mA]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</si>
</sst>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Alignment="1">
      <alignment horizont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F63B3-ECC6-4185-ADA1-47A508913057}">
  <dimension ref="A1:H12"/>
  <sheetViews>
    <sheetView tabSelected="1" zoomScale="130" zoomScaleNormal="130" workbookViewId="0">
      <selection activeCell="B11" sqref="B11"/>
    </sheetView>
  </sheetViews>
  <sheetFormatPr defaultRowHeight="14.4" x14ac:dyDescent="0.3"/>
  <cols>
    <col min="1" max="1" width="19.109375" customWidth="1"/>
    <col min="2" max="2" width="15.5546875" customWidth="1"/>
    <col min="3" max="3" width="16.21875" customWidth="1"/>
    <col min="4" max="4" width="11.77734375" customWidth="1"/>
    <col min="7" max="7" width="27.88671875" customWidth="1"/>
  </cols>
  <sheetData>
    <row r="1" spans="1:8" ht="28.8" x14ac:dyDescent="0.3">
      <c r="A1" s="1" t="s">
        <v>0</v>
      </c>
      <c r="B1" s="1" t="s">
        <v>1</v>
      </c>
      <c r="C1" s="4" t="s">
        <v>6</v>
      </c>
      <c r="D1" s="4" t="s">
        <v>18</v>
      </c>
    </row>
    <row r="2" spans="1:8" x14ac:dyDescent="0.3">
      <c r="A2" s="2" t="s">
        <v>7</v>
      </c>
      <c r="B2" s="2">
        <v>36.299999999999997</v>
      </c>
      <c r="C2">
        <v>0</v>
      </c>
      <c r="D2" s="5">
        <f>(B2*(C2/3600))/24</f>
        <v>0</v>
      </c>
      <c r="G2" t="s">
        <v>9</v>
      </c>
      <c r="H2">
        <v>1</v>
      </c>
    </row>
    <row r="3" spans="1:8" x14ac:dyDescent="0.3">
      <c r="A3" s="2" t="s">
        <v>3</v>
      </c>
      <c r="B3" s="3">
        <v>42.85</v>
      </c>
      <c r="C3">
        <f>($H$3*$H$5)</f>
        <v>600</v>
      </c>
      <c r="D3" s="5">
        <f t="shared" ref="D3:D6" si="0">(B3*(C3/3600))/24</f>
        <v>0.29756944444444444</v>
      </c>
      <c r="G3" t="s">
        <v>8</v>
      </c>
      <c r="H3">
        <v>5</v>
      </c>
    </row>
    <row r="4" spans="1:8" x14ac:dyDescent="0.3">
      <c r="A4" s="2" t="s">
        <v>4</v>
      </c>
      <c r="B4" s="3">
        <v>47.5</v>
      </c>
      <c r="C4">
        <f>($H$3*$H$6)</f>
        <v>350</v>
      </c>
      <c r="D4" s="5">
        <f t="shared" si="0"/>
        <v>0.19241898148148148</v>
      </c>
      <c r="G4" t="s">
        <v>10</v>
      </c>
      <c r="H4">
        <v>60</v>
      </c>
    </row>
    <row r="5" spans="1:8" x14ac:dyDescent="0.3">
      <c r="A5" s="2" t="s">
        <v>5</v>
      </c>
      <c r="B5" s="3">
        <v>42.85</v>
      </c>
      <c r="C5">
        <f>($H$2*$H$4)</f>
        <v>60</v>
      </c>
      <c r="D5" s="5">
        <f t="shared" si="0"/>
        <v>2.9756944444444447E-2</v>
      </c>
      <c r="G5" t="s">
        <v>11</v>
      </c>
      <c r="H5">
        <v>120</v>
      </c>
    </row>
    <row r="6" spans="1:8" x14ac:dyDescent="0.3">
      <c r="A6" s="2" t="s">
        <v>2</v>
      </c>
      <c r="B6" s="2">
        <v>5.32</v>
      </c>
      <c r="C6">
        <f>24*3600-SUM(C2:C5)</f>
        <v>85390</v>
      </c>
      <c r="D6" s="5">
        <f t="shared" si="0"/>
        <v>5.2578101851851855</v>
      </c>
      <c r="G6" t="s">
        <v>12</v>
      </c>
      <c r="H6">
        <v>70</v>
      </c>
    </row>
    <row r="9" spans="1:8" x14ac:dyDescent="0.3">
      <c r="A9" s="2" t="s">
        <v>1</v>
      </c>
      <c r="B9" s="5">
        <f>SUM(D2:D6)</f>
        <v>5.7775555555555558</v>
      </c>
    </row>
    <row r="10" spans="1:8" ht="28.8" x14ac:dyDescent="0.3">
      <c r="A10" s="2" t="s">
        <v>13</v>
      </c>
      <c r="B10" s="5">
        <f>B9*6</f>
        <v>34.665333333333336</v>
      </c>
      <c r="G10" t="s">
        <v>14</v>
      </c>
      <c r="H10">
        <v>6</v>
      </c>
    </row>
    <row r="11" spans="1:8" x14ac:dyDescent="0.3">
      <c r="A11" s="2" t="s">
        <v>16</v>
      </c>
      <c r="B11" s="5">
        <f>H11/B9</f>
        <v>432.70895034424399</v>
      </c>
      <c r="G11" t="s">
        <v>15</v>
      </c>
      <c r="H11">
        <v>2500</v>
      </c>
    </row>
    <row r="12" spans="1:8" x14ac:dyDescent="0.3">
      <c r="A12" s="2" t="s">
        <v>17</v>
      </c>
      <c r="B12" s="5">
        <f>B11/24</f>
        <v>18.029539597676834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chin cheong</dc:creator>
  <cp:lastModifiedBy>justin chin cheong</cp:lastModifiedBy>
  <dcterms:created xsi:type="dcterms:W3CDTF">2026-01-17T10:56:26Z</dcterms:created>
  <dcterms:modified xsi:type="dcterms:W3CDTF">2026-01-17T11:43:15Z</dcterms:modified>
</cp:coreProperties>
</file>