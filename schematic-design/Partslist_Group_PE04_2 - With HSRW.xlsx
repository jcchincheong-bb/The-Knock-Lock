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BFEBE582-9EB0-4947-90E2-B5CA8B45C980}" xr6:coauthVersionLast="47" xr6:coauthVersionMax="47" xr10:uidLastSave="{00000000-0000-0000-0000-000000000000}"/>
  <workbookProtection lockStructure="1"/>
  <bookViews>
    <workbookView minimized="1" xWindow="-10800" yWindow="6720" windowWidth="17280" windowHeight="8964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5" l="1"/>
  <c r="I25" i="5" l="1"/>
  <c r="I26" i="5" l="1"/>
  <c r="I20" i="5"/>
  <c r="I23" i="5"/>
  <c r="I24" i="5"/>
  <c r="I22" i="5"/>
  <c r="I19" i="5"/>
  <c r="I18" i="5"/>
  <c r="I17" i="5"/>
  <c r="I5" i="5"/>
  <c r="I6" i="5"/>
  <c r="I7" i="5"/>
  <c r="I8" i="5"/>
  <c r="I9" i="5" l="1"/>
  <c r="I10" i="5"/>
  <c r="I12" i="5"/>
  <c r="I13" i="5"/>
  <c r="I14" i="5"/>
  <c r="I16" i="5"/>
  <c r="I29" i="5" l="1"/>
  <c r="I31" i="5" l="1"/>
  <c r="I30" i="5"/>
</calcChain>
</file>

<file path=xl/sharedStrings.xml><?xml version="1.0" encoding="utf-8"?>
<sst xmlns="http://schemas.openxmlformats.org/spreadsheetml/2006/main" count="157" uniqueCount="127">
  <si>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</si>
  <si>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</si>
  <si>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</si>
  <si>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</si>
  <si>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</si>
  <si>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</si>
  <si>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</si>
  <si>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</si>
  <si>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</si>
  <si>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</si>
  <si>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</si>
  <si>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</si>
  <si>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</si>
  <si>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</si>
  <si>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</si>
  <si>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</si>
  <si>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</si>
  <si>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</si>
  <si>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</si>
  <si>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</si>
  <si>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</si>
  <si>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</si>
  <si>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</si>
  <si>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</si>
  <si>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</si>
  <si>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</si>
  <si>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</si>
  <si>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</si>
  <si>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</si>
  <si>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</si>
  <si>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</si>
  <si>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</si>
  <si>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</si>
  <si>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</si>
  <si>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</si>
  <si>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</si>
  <si>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</si>
  <si>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</si>
  <si>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</si>
  <si>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</si>
  <si>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</si>
  <si>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</si>
  <si>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</si>
  <si>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</si>
  <si>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</si>
  <si>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</si>
  <si>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</si>
  <si>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</si>
  <si>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</si>
  <si>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</si>
  <si>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</si>
  <si>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</si>
  <si>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</si>
  <si>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</si>
  <si>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</si>
  <si>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</si>
  <si>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</si>
  <si>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</si>
  <si>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</si>
  <si>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Same Sky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</si>
  <si>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</si>
  <si>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</si>
  <si>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</si>
  <si>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</si>
  <si>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</si>
  <si>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</si>
  <si>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</si>
  <si>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</si>
  <si>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</si>
  <si>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</si>
  <si>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</si>
  <si>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</si>
  <si>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</si>
  <si>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</si>
  <si>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</si>
  <si>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</si>
  <si>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</si>
  <si>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PKM22EPPH4001-B0 Buzzer</t>
  </si>
  <si>
    <t>2477 Battery Holder</t>
  </si>
  <si>
    <t>LM2575-3.3WT Voltage Regulator</t>
  </si>
  <si>
    <t>IRLML6402TRPBF MOSFET</t>
  </si>
  <si>
    <t>SER0050 Servo Motor</t>
  </si>
  <si>
    <t>https://www.reichelt.de/de/de/shop/produkt/rueckstellende_sicherungen_max_40a-30v_6_6s-35211</t>
  </si>
  <si>
    <t>PFRA</t>
  </si>
  <si>
    <t>PFRA 110</t>
  </si>
  <si>
    <t>Resettable fuse Ihold=1.1A, Itrip=2.2A, trip time 6.6s, max. 40 A, 30 V radial</t>
  </si>
  <si>
    <t>Electrolytic Capacitor 10uF</t>
  </si>
  <si>
    <t>Panasonic</t>
  </si>
  <si>
    <t>https://www.mouser.de/ProductDetail/Panasonic/EEU-FR1H100?qs=tfZGHB2PWd1NAbdNSgjToQ%3D%3D&amp;countrycode=DE&amp;currencycode=EUR</t>
  </si>
  <si>
    <t>EEU-FR1H100</t>
  </si>
  <si>
    <t>https://www.reichelt.de/de/de/shop/produkt/elko_radial_330_f_25_v_105_low_esr_8x11_5_mm_rm_3_5-121265</t>
  </si>
  <si>
    <t>Electrolytic Capacitor 330uF</t>
  </si>
  <si>
    <t>Electrolytic Capacitor 100uF</t>
  </si>
  <si>
    <t>EEUFR1E331</t>
  </si>
  <si>
    <t>https://www.mouser.de/ProductDetail/Panasonic/EEU-FC1C101H?qs=%2FC1U95aQ15szP%252BXx0reJVg%3D%3D</t>
  </si>
  <si>
    <t>EEU-FC1C101H</t>
  </si>
  <si>
    <t>Red LED</t>
  </si>
  <si>
    <t>https://www.reichelt.de/de/de/shop/produkt/led_3_mm_bedrahtet_rot_191_mcd_50_-10228</t>
  </si>
  <si>
    <t>DLE3MMR</t>
  </si>
  <si>
    <t>Hottech</t>
  </si>
  <si>
    <t>Green LED</t>
  </si>
  <si>
    <t>Yellow LED</t>
  </si>
  <si>
    <t>DLE3MMG</t>
  </si>
  <si>
    <t>DLE3MMY</t>
  </si>
  <si>
    <t>https://www.reichelt.de/de/de/shop/produkt/led_3_mm_bedrahtet_gruen_74_mcd_38_-10227</t>
  </si>
  <si>
    <t>https://www.reichelt.de/de/de/shop/produkt/led_3_mm_bedrahtet_gelb_210_mcd_53_-10226</t>
  </si>
  <si>
    <t>Electrolytic Capacitor 1uF</t>
  </si>
  <si>
    <t>https://www.reichelt.de/de/de/shop/produkt/subminiatur-elko_radial_1_0_f_63_v_rm_1_5_85_c_1000h_20_-18162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</si>
  <si>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</si>
  <si>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</si>
  <si>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</si>
  <si>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</si>
  <si>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</si>
  <si>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Push Button TS02-66-60-BK-260-LCR-D</t>
  </si>
  <si>
    <t>TS02-66-60-BK-260-LCR-D</t>
  </si>
  <si>
    <t>179-TS026660BK260LCR</t>
  </si>
  <si>
    <t>https://www.mouser.de/ProductDetail/Same-Sky/TS02-66-60-BK-260-LCR-D?qs=A6eO%252BMLsxmQnLv1ZYEDDrQ%3D%3D</t>
  </si>
  <si>
    <t>Epcos</t>
  </si>
  <si>
    <t>100nF Ceramic-Chip Capacitors</t>
  </si>
  <si>
    <t>1N5908</t>
  </si>
  <si>
    <t>TVS Diode 5V,</t>
  </si>
  <si>
    <t>ST</t>
  </si>
  <si>
    <t>https://www.mouser.de/ProductDetail/STMicroelectronics/1N5908?qs=YstF3%2FqpSF%252BhnZj98fb9oQ%3D%3D&amp;srsltid=AfmBOorzoElHmplEbmoCVDHx7_FNw26QDkjH7mLPxjuBH2CioThL0RCf</t>
  </si>
  <si>
    <t>GCT</t>
  </si>
  <si>
    <t>USB3145-30-1-A</t>
  </si>
  <si>
    <t>640-USB3145-30-1-A</t>
  </si>
  <si>
    <t>https://www.mouser.de/ProductDetail/GCT/USB3145-30-1-A?qs=KUoIvG%2F9IlYD1lvSRu5iyg%3D%3D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</si>
</sst>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17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Infineon-Technologies/IRLML6402TRPBF?qs=9%252BKlkBgLFf0HuZuONx2Ew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view="pageLayout" topLeftCell="A18" zoomScale="110" zoomScaleNormal="100" zoomScalePageLayoutView="110" workbookViewId="0">
      <selection activeCell="B27" sqref="B27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51" t="s">
        <v>18</v>
      </c>
      <c r="B1" s="52"/>
      <c r="C1" s="17" t="s">
        <v>48</v>
      </c>
      <c r="G1" s="5" t="s">
        <v>23</v>
      </c>
      <c r="H1" s="56" t="s">
        <v>51</v>
      </c>
      <c r="I1" s="56"/>
      <c r="J1" s="56"/>
    </row>
    <row r="2" spans="1:10" x14ac:dyDescent="0.3">
      <c r="A2" s="51" t="s">
        <v>21</v>
      </c>
      <c r="B2" s="52"/>
      <c r="C2" s="18" t="s">
        <v>49</v>
      </c>
      <c r="G2" s="5" t="s">
        <v>20</v>
      </c>
      <c r="H2" s="57" t="s">
        <v>50</v>
      </c>
      <c r="I2" s="57"/>
      <c r="J2" s="57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6.2" customHeight="1" x14ac:dyDescent="0.3">
      <c r="A5" s="38">
        <v>1</v>
      </c>
      <c r="B5" s="19">
        <v>1</v>
      </c>
      <c r="C5" s="20" t="s">
        <v>34</v>
      </c>
      <c r="D5" s="20" t="s">
        <v>38</v>
      </c>
      <c r="E5" s="28" t="s">
        <v>35</v>
      </c>
      <c r="F5" s="20" t="s">
        <v>30</v>
      </c>
      <c r="G5" s="29" t="s">
        <v>36</v>
      </c>
      <c r="H5" s="21">
        <v>3.12</v>
      </c>
      <c r="I5" s="21">
        <f>B5*H5</f>
        <v>3.12</v>
      </c>
      <c r="J5" s="22" t="s">
        <v>37</v>
      </c>
    </row>
    <row r="6" spans="1:10" ht="43.2" x14ac:dyDescent="0.3">
      <c r="A6" s="39">
        <v>2</v>
      </c>
      <c r="B6" s="23">
        <v>1</v>
      </c>
      <c r="C6" s="24" t="s">
        <v>39</v>
      </c>
      <c r="D6" s="24" t="s">
        <v>40</v>
      </c>
      <c r="E6" s="30" t="s">
        <v>41</v>
      </c>
      <c r="F6" s="24" t="s">
        <v>30</v>
      </c>
      <c r="G6" s="30" t="s">
        <v>42</v>
      </c>
      <c r="H6" s="25">
        <v>5.65</v>
      </c>
      <c r="I6" s="21">
        <f t="shared" ref="I6:I14" si="0">B6*H6</f>
        <v>5.65</v>
      </c>
      <c r="J6" s="31" t="s">
        <v>43</v>
      </c>
    </row>
    <row r="7" spans="1:10" ht="40.5" customHeight="1" x14ac:dyDescent="0.3">
      <c r="A7" s="39">
        <v>3</v>
      </c>
      <c r="B7" s="23">
        <v>1</v>
      </c>
      <c r="C7" s="24" t="s">
        <v>46</v>
      </c>
      <c r="D7" s="24" t="s">
        <v>77</v>
      </c>
      <c r="E7" s="24" t="s">
        <v>45</v>
      </c>
      <c r="F7" s="24" t="s">
        <v>30</v>
      </c>
      <c r="G7" s="24" t="s">
        <v>44</v>
      </c>
      <c r="H7" s="25">
        <v>0.48199999999999998</v>
      </c>
      <c r="I7" s="21">
        <f t="shared" si="0"/>
        <v>0.48199999999999998</v>
      </c>
      <c r="J7" s="31" t="s">
        <v>47</v>
      </c>
    </row>
    <row r="8" spans="1:10" ht="28.8" x14ac:dyDescent="0.3">
      <c r="A8" s="6">
        <v>4</v>
      </c>
      <c r="B8" s="24">
        <v>1</v>
      </c>
      <c r="C8" s="36" t="s">
        <v>52</v>
      </c>
      <c r="D8" s="24" t="s">
        <v>78</v>
      </c>
      <c r="E8" s="30">
        <v>2477</v>
      </c>
      <c r="F8" s="24" t="s">
        <v>30</v>
      </c>
      <c r="G8" s="37" t="s">
        <v>57</v>
      </c>
      <c r="H8" s="32">
        <v>1.87</v>
      </c>
      <c r="I8" s="33">
        <f>B8*H8</f>
        <v>1.87</v>
      </c>
      <c r="J8" s="31" t="s">
        <v>58</v>
      </c>
    </row>
    <row r="9" spans="1:10" ht="43.2" x14ac:dyDescent="0.3">
      <c r="A9" s="6">
        <v>5</v>
      </c>
      <c r="B9" s="24">
        <v>1</v>
      </c>
      <c r="C9" s="24" t="s">
        <v>56</v>
      </c>
      <c r="D9" s="24" t="s">
        <v>79</v>
      </c>
      <c r="E9" s="24" t="s">
        <v>54</v>
      </c>
      <c r="F9" s="24" t="s">
        <v>30</v>
      </c>
      <c r="G9" s="24" t="s">
        <v>55</v>
      </c>
      <c r="H9" s="32">
        <v>1.48</v>
      </c>
      <c r="I9" s="33">
        <f>B9*H9</f>
        <v>1.48</v>
      </c>
      <c r="J9" s="31" t="s">
        <v>53</v>
      </c>
    </row>
    <row r="10" spans="1:10" ht="14.4" customHeight="1" x14ac:dyDescent="0.3">
      <c r="A10" s="6">
        <v>6</v>
      </c>
      <c r="B10" s="24">
        <v>2</v>
      </c>
      <c r="C10" s="24" t="s">
        <v>83</v>
      </c>
      <c r="D10" s="24" t="s">
        <v>85</v>
      </c>
      <c r="E10" s="24" t="s">
        <v>84</v>
      </c>
      <c r="F10" s="24" t="s">
        <v>29</v>
      </c>
      <c r="G10" s="24">
        <v>261</v>
      </c>
      <c r="H10" s="32">
        <v>0.28000000000000003</v>
      </c>
      <c r="I10" s="33">
        <f>B10*H10</f>
        <v>0.56000000000000005</v>
      </c>
      <c r="J10" s="31" t="s">
        <v>82</v>
      </c>
    </row>
    <row r="11" spans="1:10" ht="28.8" x14ac:dyDescent="0.3">
      <c r="A11" s="7">
        <v>7</v>
      </c>
      <c r="B11" s="26">
        <v>1</v>
      </c>
      <c r="C11" s="26" t="s">
        <v>123</v>
      </c>
      <c r="D11" s="26" t="s">
        <v>124</v>
      </c>
      <c r="E11" s="26" t="s">
        <v>124</v>
      </c>
      <c r="F11" s="26" t="s">
        <v>30</v>
      </c>
      <c r="G11" s="26" t="s">
        <v>125</v>
      </c>
      <c r="H11" s="34">
        <v>0.66200000000000003</v>
      </c>
      <c r="I11" s="33">
        <f t="shared" ref="I11" si="1">B11*H11</f>
        <v>0.66200000000000003</v>
      </c>
      <c r="J11" s="35" t="s">
        <v>126</v>
      </c>
    </row>
    <row r="12" spans="1:10" ht="43.2" x14ac:dyDescent="0.3">
      <c r="A12" s="6">
        <v>8</v>
      </c>
      <c r="B12" s="26">
        <v>1</v>
      </c>
      <c r="C12" s="26" t="s">
        <v>61</v>
      </c>
      <c r="D12" s="26" t="s">
        <v>80</v>
      </c>
      <c r="E12" s="26" t="s">
        <v>62</v>
      </c>
      <c r="F12" s="26" t="s">
        <v>30</v>
      </c>
      <c r="G12" s="26" t="s">
        <v>63</v>
      </c>
      <c r="H12" s="34">
        <v>0.35299999999999998</v>
      </c>
      <c r="I12" s="33">
        <f t="shared" si="0"/>
        <v>0.35299999999999998</v>
      </c>
      <c r="J12" s="35" t="s">
        <v>60</v>
      </c>
    </row>
    <row r="13" spans="1:10" ht="28.8" x14ac:dyDescent="0.3">
      <c r="A13" s="6">
        <v>9</v>
      </c>
      <c r="B13" s="26">
        <v>1</v>
      </c>
      <c r="C13" s="26" t="s">
        <v>64</v>
      </c>
      <c r="D13" s="26" t="s">
        <v>65</v>
      </c>
      <c r="E13" s="26" t="s">
        <v>66</v>
      </c>
      <c r="F13" s="26" t="s">
        <v>29</v>
      </c>
      <c r="G13" s="26">
        <v>203</v>
      </c>
      <c r="H13" s="34">
        <v>0.04</v>
      </c>
      <c r="I13" s="33">
        <f t="shared" si="0"/>
        <v>0.04</v>
      </c>
      <c r="J13" s="35" t="s">
        <v>67</v>
      </c>
    </row>
    <row r="14" spans="1:10" ht="43.2" x14ac:dyDescent="0.3">
      <c r="A14" s="7">
        <v>10</v>
      </c>
      <c r="B14" s="26">
        <v>2</v>
      </c>
      <c r="C14" s="26" t="s">
        <v>72</v>
      </c>
      <c r="D14" s="26" t="s">
        <v>70</v>
      </c>
      <c r="E14" s="26" t="s">
        <v>69</v>
      </c>
      <c r="F14" s="26" t="s">
        <v>31</v>
      </c>
      <c r="G14" s="26" t="s">
        <v>71</v>
      </c>
      <c r="H14" s="34">
        <v>0.15</v>
      </c>
      <c r="I14" s="33">
        <f t="shared" si="0"/>
        <v>0.3</v>
      </c>
      <c r="J14" s="35" t="s">
        <v>68</v>
      </c>
    </row>
    <row r="15" spans="1:10" ht="57.6" x14ac:dyDescent="0.3">
      <c r="A15" s="7"/>
      <c r="B15" s="26">
        <v>2</v>
      </c>
      <c r="C15" s="26" t="s">
        <v>121</v>
      </c>
      <c r="D15" s="26" t="s">
        <v>120</v>
      </c>
      <c r="E15" s="26" t="s">
        <v>119</v>
      </c>
      <c r="F15" s="26" t="s">
        <v>29</v>
      </c>
      <c r="G15" s="26"/>
      <c r="H15" s="34"/>
      <c r="I15" s="33"/>
      <c r="J15" s="35" t="s">
        <v>122</v>
      </c>
    </row>
    <row r="16" spans="1:10" ht="28.8" x14ac:dyDescent="0.3">
      <c r="A16" s="6">
        <v>11</v>
      </c>
      <c r="B16" s="26">
        <v>1</v>
      </c>
      <c r="C16" s="26" t="s">
        <v>76</v>
      </c>
      <c r="D16" s="26" t="s">
        <v>81</v>
      </c>
      <c r="E16" s="26" t="s">
        <v>74</v>
      </c>
      <c r="F16" s="26" t="s">
        <v>30</v>
      </c>
      <c r="G16" s="26" t="s">
        <v>75</v>
      </c>
      <c r="H16" s="34">
        <v>5.16</v>
      </c>
      <c r="I16" s="33">
        <f t="shared" ref="I16:I22" si="2">B16*H16</f>
        <v>5.16</v>
      </c>
      <c r="J16" s="35" t="s">
        <v>73</v>
      </c>
    </row>
    <row r="17" spans="1:10" ht="43.2" x14ac:dyDescent="0.3">
      <c r="A17" s="7">
        <v>12</v>
      </c>
      <c r="B17" s="26">
        <v>3</v>
      </c>
      <c r="C17" s="40" t="s">
        <v>87</v>
      </c>
      <c r="D17" s="26" t="s">
        <v>86</v>
      </c>
      <c r="E17" s="27" t="s">
        <v>89</v>
      </c>
      <c r="F17" s="26" t="s">
        <v>29</v>
      </c>
      <c r="G17" s="26">
        <v>385</v>
      </c>
      <c r="H17" s="34">
        <v>0.11</v>
      </c>
      <c r="I17" s="33">
        <f t="shared" si="2"/>
        <v>0.33</v>
      </c>
      <c r="J17" s="35" t="s">
        <v>88</v>
      </c>
    </row>
    <row r="18" spans="1:10" ht="28.8" x14ac:dyDescent="0.3">
      <c r="A18" s="6">
        <v>13</v>
      </c>
      <c r="B18" s="26">
        <v>1</v>
      </c>
      <c r="C18" s="40" t="s">
        <v>87</v>
      </c>
      <c r="D18" s="26" t="s">
        <v>91</v>
      </c>
      <c r="E18" s="27" t="s">
        <v>93</v>
      </c>
      <c r="F18" s="26" t="s">
        <v>29</v>
      </c>
      <c r="G18" s="26">
        <v>409</v>
      </c>
      <c r="H18" s="34">
        <v>0.26</v>
      </c>
      <c r="I18" s="33">
        <f t="shared" si="2"/>
        <v>0.26</v>
      </c>
      <c r="J18" s="35" t="s">
        <v>90</v>
      </c>
    </row>
    <row r="19" spans="1:10" ht="28.8" x14ac:dyDescent="0.3">
      <c r="A19" s="7">
        <v>14</v>
      </c>
      <c r="B19" s="26">
        <v>1</v>
      </c>
      <c r="C19" s="40" t="s">
        <v>87</v>
      </c>
      <c r="D19" s="26" t="s">
        <v>92</v>
      </c>
      <c r="E19" s="27" t="s">
        <v>95</v>
      </c>
      <c r="F19" s="26" t="s">
        <v>29</v>
      </c>
      <c r="G19" s="26">
        <v>397</v>
      </c>
      <c r="H19" s="34">
        <v>0.14000000000000001</v>
      </c>
      <c r="I19" s="33">
        <f t="shared" si="2"/>
        <v>0.14000000000000001</v>
      </c>
      <c r="J19" s="35" t="s">
        <v>94</v>
      </c>
    </row>
    <row r="20" spans="1:10" ht="28.8" x14ac:dyDescent="0.3">
      <c r="A20" s="6">
        <v>15</v>
      </c>
      <c r="B20" s="26">
        <v>1</v>
      </c>
      <c r="C20" s="40" t="s">
        <v>87</v>
      </c>
      <c r="D20" s="26" t="s">
        <v>106</v>
      </c>
      <c r="E20" s="27"/>
      <c r="F20" s="26" t="s">
        <v>29</v>
      </c>
      <c r="G20" s="26">
        <v>378</v>
      </c>
      <c r="H20" s="34">
        <v>0.02</v>
      </c>
      <c r="I20" s="33">
        <f t="shared" si="2"/>
        <v>0.02</v>
      </c>
      <c r="J20" s="35" t="s">
        <v>107</v>
      </c>
    </row>
    <row r="21" spans="1:10" ht="28.8" x14ac:dyDescent="0.3">
      <c r="A21" s="6">
        <v>16</v>
      </c>
      <c r="B21" s="26">
        <v>6</v>
      </c>
      <c r="C21" s="40" t="s">
        <v>117</v>
      </c>
      <c r="D21" s="26" t="s">
        <v>118</v>
      </c>
      <c r="E21" s="27"/>
      <c r="F21" s="26" t="s">
        <v>29</v>
      </c>
      <c r="G21" s="26"/>
      <c r="H21" s="34"/>
      <c r="I21" s="33"/>
      <c r="J21" s="35"/>
    </row>
    <row r="22" spans="1:10" ht="14.4" customHeight="1" x14ac:dyDescent="0.3">
      <c r="A22" s="7">
        <v>17</v>
      </c>
      <c r="B22" s="26">
        <v>1</v>
      </c>
      <c r="C22" s="40" t="s">
        <v>99</v>
      </c>
      <c r="D22" s="26" t="s">
        <v>96</v>
      </c>
      <c r="E22" s="27" t="s">
        <v>98</v>
      </c>
      <c r="F22" s="26" t="s">
        <v>29</v>
      </c>
      <c r="G22" s="26">
        <v>498</v>
      </c>
      <c r="H22" s="34">
        <v>0.06</v>
      </c>
      <c r="I22" s="33">
        <f t="shared" si="2"/>
        <v>0.06</v>
      </c>
      <c r="J22" s="35" t="s">
        <v>97</v>
      </c>
    </row>
    <row r="23" spans="1:10" ht="28.8" x14ac:dyDescent="0.3">
      <c r="A23" s="6">
        <v>18</v>
      </c>
      <c r="B23" s="26">
        <v>1</v>
      </c>
      <c r="C23" s="40" t="s">
        <v>99</v>
      </c>
      <c r="D23" s="26" t="s">
        <v>100</v>
      </c>
      <c r="E23" s="27" t="s">
        <v>102</v>
      </c>
      <c r="F23" s="26" t="s">
        <v>29</v>
      </c>
      <c r="G23" s="26">
        <v>497</v>
      </c>
      <c r="H23" s="34">
        <v>0.06</v>
      </c>
      <c r="I23" s="33">
        <f t="shared" ref="I23:I26" si="3">B23*H23</f>
        <v>0.06</v>
      </c>
      <c r="J23" s="35" t="s">
        <v>104</v>
      </c>
    </row>
    <row r="24" spans="1:10" ht="28.8" x14ac:dyDescent="0.3">
      <c r="A24" s="6">
        <v>19</v>
      </c>
      <c r="B24" s="26">
        <v>1</v>
      </c>
      <c r="C24" s="40" t="s">
        <v>99</v>
      </c>
      <c r="D24" s="26" t="s">
        <v>101</v>
      </c>
      <c r="E24" s="27" t="s">
        <v>103</v>
      </c>
      <c r="F24" s="26" t="s">
        <v>29</v>
      </c>
      <c r="G24" s="26">
        <v>471</v>
      </c>
      <c r="H24" s="34">
        <v>0.06</v>
      </c>
      <c r="I24" s="33">
        <f t="shared" si="3"/>
        <v>0.06</v>
      </c>
      <c r="J24" s="35" t="s">
        <v>105</v>
      </c>
    </row>
    <row r="25" spans="1:10" ht="43.2" x14ac:dyDescent="0.3">
      <c r="A25" s="7">
        <v>20</v>
      </c>
      <c r="B25" s="40">
        <v>2</v>
      </c>
      <c r="C25" s="40" t="s">
        <v>59</v>
      </c>
      <c r="D25" s="26" t="s">
        <v>113</v>
      </c>
      <c r="E25" s="26" t="s">
        <v>114</v>
      </c>
      <c r="F25" s="26" t="s">
        <v>30</v>
      </c>
      <c r="G25" s="26" t="s">
        <v>115</v>
      </c>
      <c r="H25" s="34">
        <v>8.5999999999999993E-2</v>
      </c>
      <c r="I25" s="33">
        <f t="shared" si="3"/>
        <v>0.17199999999999999</v>
      </c>
      <c r="J25" s="35" t="s">
        <v>116</v>
      </c>
    </row>
    <row r="26" spans="1:10" ht="28.8" x14ac:dyDescent="0.3">
      <c r="A26" s="6">
        <v>21</v>
      </c>
      <c r="B26" s="26">
        <v>1</v>
      </c>
      <c r="C26" s="40" t="s">
        <v>109</v>
      </c>
      <c r="D26" s="40" t="s">
        <v>108</v>
      </c>
      <c r="E26" s="26" t="s">
        <v>110</v>
      </c>
      <c r="F26" s="26" t="s">
        <v>30</v>
      </c>
      <c r="G26" s="26" t="s">
        <v>111</v>
      </c>
      <c r="H26" s="34">
        <v>1.26</v>
      </c>
      <c r="I26" s="33">
        <f t="shared" si="3"/>
        <v>1.26</v>
      </c>
      <c r="J26" s="35" t="s">
        <v>112</v>
      </c>
    </row>
    <row r="27" spans="1:10" x14ac:dyDescent="0.3">
      <c r="A27" s="6">
        <v>22</v>
      </c>
      <c r="B27" s="26"/>
      <c r="C27" s="26"/>
      <c r="D27" s="26"/>
      <c r="E27" s="26"/>
      <c r="F27" s="26"/>
      <c r="G27" s="26"/>
      <c r="H27" s="34"/>
      <c r="I27" s="33"/>
      <c r="J27" s="35"/>
    </row>
    <row r="29" spans="1:10" x14ac:dyDescent="0.3">
      <c r="G29" s="58" t="s">
        <v>1</v>
      </c>
      <c r="H29" s="58"/>
      <c r="I29" s="10">
        <f>SUM(I5:I27)</f>
        <v>22.038999999999998</v>
      </c>
      <c r="J29" s="42"/>
    </row>
    <row r="30" spans="1:10" x14ac:dyDescent="0.3">
      <c r="A30" s="11" t="s">
        <v>24</v>
      </c>
      <c r="B30" s="12"/>
      <c r="C30" s="12"/>
      <c r="D30" s="12"/>
      <c r="E30" s="13"/>
      <c r="G30" s="59" t="s">
        <v>3</v>
      </c>
      <c r="H30" s="59"/>
      <c r="I30" s="8">
        <f>I29*0.19</f>
        <v>4.1874099999999999</v>
      </c>
      <c r="J30" s="42"/>
    </row>
    <row r="31" spans="1:10" x14ac:dyDescent="0.3">
      <c r="A31" s="53" t="s">
        <v>16</v>
      </c>
      <c r="B31" s="54"/>
      <c r="C31" s="14" t="s">
        <v>15</v>
      </c>
      <c r="D31" s="54" t="s">
        <v>17</v>
      </c>
      <c r="E31" s="55"/>
      <c r="G31" s="59" t="s">
        <v>2</v>
      </c>
      <c r="H31" s="59"/>
      <c r="I31" s="9">
        <f>I29*1.19</f>
        <v>26.226409999999998</v>
      </c>
      <c r="J31" s="42"/>
    </row>
    <row r="32" spans="1:10" x14ac:dyDescent="0.3">
      <c r="A32" s="43" t="s">
        <v>29</v>
      </c>
      <c r="B32" s="44"/>
      <c r="C32" s="15" t="s">
        <v>27</v>
      </c>
      <c r="D32" s="47" t="s">
        <v>22</v>
      </c>
      <c r="E32" s="48"/>
      <c r="I32" s="41"/>
    </row>
    <row r="33" spans="1:8" x14ac:dyDescent="0.3">
      <c r="A33" s="43" t="s">
        <v>30</v>
      </c>
      <c r="B33" s="44"/>
      <c r="C33" s="15" t="s">
        <v>26</v>
      </c>
      <c r="D33" s="47" t="s">
        <v>19</v>
      </c>
      <c r="E33" s="48"/>
    </row>
    <row r="34" spans="1:8" x14ac:dyDescent="0.3">
      <c r="A34" s="43" t="s">
        <v>31</v>
      </c>
      <c r="B34" s="44"/>
      <c r="C34" s="15" t="s">
        <v>26</v>
      </c>
      <c r="D34" s="47" t="s">
        <v>13</v>
      </c>
      <c r="E34" s="48"/>
      <c r="H34" t="s">
        <v>12</v>
      </c>
    </row>
    <row r="35" spans="1:8" x14ac:dyDescent="0.3">
      <c r="A35" s="45" t="s">
        <v>32</v>
      </c>
      <c r="B35" s="46"/>
      <c r="C35" s="16" t="s">
        <v>26</v>
      </c>
      <c r="D35" s="49" t="s">
        <v>14</v>
      </c>
      <c r="E35" s="50"/>
    </row>
    <row r="36" spans="1:8" x14ac:dyDescent="0.3">
      <c r="A36" s="45" t="s">
        <v>28</v>
      </c>
      <c r="B36" s="46"/>
      <c r="C36" s="16"/>
      <c r="D36" s="49" t="s">
        <v>33</v>
      </c>
      <c r="E36" s="50"/>
    </row>
    <row r="51" spans="1:10" x14ac:dyDescent="0.3">
      <c r="A51" s="2"/>
      <c r="B51" s="2"/>
      <c r="C51" s="1"/>
      <c r="D51" s="2"/>
      <c r="E51" s="1"/>
      <c r="F51" s="2"/>
      <c r="G51" s="2"/>
      <c r="H51" s="2"/>
      <c r="I51" s="2"/>
      <c r="J51" s="2"/>
    </row>
    <row r="52" spans="1:10" x14ac:dyDescent="0.3">
      <c r="A52" s="1"/>
      <c r="B52" s="1"/>
      <c r="C52" s="2"/>
      <c r="D52" s="1"/>
      <c r="E52" s="2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  <row r="54" spans="1:10" x14ac:dyDescent="0.3">
      <c r="A54" s="1"/>
      <c r="B54" s="1"/>
      <c r="C54" s="2"/>
      <c r="D54" s="2"/>
      <c r="E54" s="1"/>
      <c r="F54" s="2"/>
      <c r="G54" s="1"/>
      <c r="H54" s="1"/>
      <c r="I54" s="1"/>
      <c r="J54" s="3"/>
    </row>
    <row r="55" spans="1:10" x14ac:dyDescent="0.3">
      <c r="A55" s="1"/>
      <c r="B55" s="1"/>
      <c r="C55" s="2"/>
      <c r="D55" s="1"/>
      <c r="E55" s="1"/>
      <c r="F55" s="2"/>
      <c r="G55" s="1"/>
      <c r="H55" s="1"/>
      <c r="I55" s="1"/>
      <c r="J55" s="3"/>
    </row>
    <row r="56" spans="1:10" x14ac:dyDescent="0.3">
      <c r="A56" s="1"/>
      <c r="B56" s="1"/>
      <c r="C56" s="1"/>
      <c r="D56" s="1"/>
      <c r="E56" s="1"/>
      <c r="F56" s="2"/>
      <c r="G56" s="1"/>
      <c r="H56" s="1"/>
      <c r="I56" s="1"/>
      <c r="J56" s="3"/>
    </row>
    <row r="57" spans="1:10" x14ac:dyDescent="0.3">
      <c r="A57" s="1"/>
      <c r="B57" s="1"/>
      <c r="C57" s="2"/>
      <c r="D57" s="1"/>
      <c r="E57" s="1"/>
      <c r="F57" s="2"/>
      <c r="G57" s="1"/>
      <c r="H57" s="1"/>
      <c r="I57" s="1"/>
      <c r="J57" s="3"/>
    </row>
    <row r="58" spans="1:10" x14ac:dyDescent="0.3">
      <c r="A58" s="1"/>
      <c r="B58" s="1"/>
      <c r="C58" s="2"/>
      <c r="D58" s="1"/>
      <c r="E58" s="1"/>
      <c r="F58" s="2"/>
      <c r="G58" s="1"/>
      <c r="H58" s="1"/>
      <c r="I58" s="1"/>
      <c r="J58" s="3"/>
    </row>
  </sheetData>
  <mergeCells count="19">
    <mergeCell ref="H1:J1"/>
    <mergeCell ref="H2:J2"/>
    <mergeCell ref="G29:H29"/>
    <mergeCell ref="G30:H30"/>
    <mergeCell ref="G31:H31"/>
    <mergeCell ref="A1:B1"/>
    <mergeCell ref="A2:B2"/>
    <mergeCell ref="A31:B31"/>
    <mergeCell ref="A32:B32"/>
    <mergeCell ref="D31:E31"/>
    <mergeCell ref="A33:B33"/>
    <mergeCell ref="A34:B34"/>
    <mergeCell ref="A36:B36"/>
    <mergeCell ref="D32:E32"/>
    <mergeCell ref="D33:E33"/>
    <mergeCell ref="D34:E34"/>
    <mergeCell ref="D36:E36"/>
    <mergeCell ref="A35:B35"/>
    <mergeCell ref="D35:E35"/>
  </mergeCells>
  <phoneticPr fontId="5" type="noConversion"/>
  <dataValidations count="3">
    <dataValidation type="list" allowBlank="1" showInputMessage="1" showErrorMessage="1" sqref="F26:F27 F5:F10 F12:F24" xr:uid="{00000000-0002-0000-0000-000000000000}">
      <formula1>$A$32:$A$36</formula1>
    </dataValidation>
    <dataValidation type="list" allowBlank="1" showInputMessage="1" showErrorMessage="1" sqref="F25" xr:uid="{75F82313-0372-4483-9899-AEAC29E1E112}">
      <formula1>$A$29:$A$33</formula1>
    </dataValidation>
    <dataValidation type="list" allowBlank="1" showInputMessage="1" showErrorMessage="1" sqref="F11" xr:uid="{2C71D0E7-017E-4287-87F6-E3AC4A9F966D}">
      <formula1>$A$27:$A$31</formula1>
    </dataValidation>
  </dataValidations>
  <hyperlinks>
    <hyperlink ref="D34" r:id="rId1" xr:uid="{00000000-0004-0000-0000-000000000000}"/>
    <hyperlink ref="D33" r:id="rId2" xr:uid="{00000000-0004-0000-0000-000001000000}"/>
    <hyperlink ref="D32" r:id="rId3" xr:uid="{00000000-0004-0000-0000-000002000000}"/>
    <hyperlink ref="D35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2" r:id="rId9" xr:uid="{85611FA3-DA6B-4401-BC4A-CB8B8F5F9061}"/>
  </hyperlinks>
  <pageMargins left="0.25" right="0.25" top="0.75" bottom="0.75" header="0.3" footer="0.3"/>
  <pageSetup paperSize="9" orientation="landscape" r:id="rId10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2025-11-13T15:25:25Z</dcterms:modified>
</cp:coreProperties>
</file>