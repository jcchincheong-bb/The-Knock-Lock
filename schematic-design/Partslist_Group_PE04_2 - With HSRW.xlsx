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d1c0a53281c2ab/Documents/University/Studies/Sem 5/Practical Electronics/pe04/schematic-design/"/>
    </mc:Choice>
  </mc:AlternateContent>
  <xr:revisionPtr revIDLastSave="12" documentId="13_ncr:1_{23A68183-9883-4898-B30F-B2C1DE7AC4B9}" xr6:coauthVersionLast="47" xr6:coauthVersionMax="47" xr10:uidLastSave="{394C5F17-CE64-48EF-A993-8447C8068017}"/>
  <workbookProtection lockStructure="1"/>
  <bookViews>
    <workbookView xWindow="-108" yWindow="-108" windowWidth="23256" windowHeight="12456" xr2:uid="{00000000-000D-0000-FFFF-FFFF00000000}"/>
  </bookViews>
  <sheets>
    <sheet name="Part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5" l="1"/>
  <c r="I25" i="5"/>
  <c r="I24" i="5"/>
  <c r="I20" i="5"/>
  <c r="I22" i="5"/>
  <c r="I23" i="5"/>
  <c r="I21" i="5"/>
  <c r="I19" i="5"/>
  <c r="I18" i="5"/>
  <c r="I17" i="5"/>
  <c r="I5" i="5"/>
  <c r="I6" i="5"/>
  <c r="I7" i="5"/>
  <c r="I8" i="5"/>
  <c r="I9" i="5" l="1"/>
  <c r="I10" i="5"/>
  <c r="I11" i="5"/>
  <c r="I12" i="5"/>
  <c r="I13" i="5"/>
  <c r="I14" i="5"/>
  <c r="I15" i="5"/>
  <c r="I16" i="5"/>
  <c r="I28" i="5" l="1"/>
  <c r="I30" i="5" s="1"/>
</calcChain>
</file>

<file path=xl/sharedStrings.xml><?xml version="1.0" encoding="utf-8"?>
<sst xmlns="http://schemas.openxmlformats.org/spreadsheetml/2006/main" count="155" uniqueCount="127">
  <si>
    <t>Link</t>
  </si>
  <si>
    <t>total price*</t>
  </si>
  <si>
    <t>total price inclusive VAT:</t>
  </si>
  <si>
    <t>value added tax (VAT)</t>
  </si>
  <si>
    <t>No.</t>
  </si>
  <si>
    <t>component</t>
  </si>
  <si>
    <t>manufacturer</t>
  </si>
  <si>
    <t>ordering code (manufacturer)</t>
  </si>
  <si>
    <t>ordering code (vendor)</t>
  </si>
  <si>
    <t>Price per unit €*</t>
  </si>
  <si>
    <t>Price €*</t>
  </si>
  <si>
    <t>vendor</t>
  </si>
  <si>
    <t>*without value added tax (VAT)</t>
  </si>
  <si>
    <t>https://www.reichelt.de/</t>
  </si>
  <si>
    <t>https://www.conrad.biz/</t>
  </si>
  <si>
    <t>language</t>
  </si>
  <si>
    <t>shop</t>
  </si>
  <si>
    <t>homepage</t>
  </si>
  <si>
    <t>Group no.</t>
  </si>
  <si>
    <t>https://www.mouser.de/</t>
  </si>
  <si>
    <t>Team members</t>
  </si>
  <si>
    <t>Date</t>
  </si>
  <si>
    <t>https://ee.hsrw.org/</t>
  </si>
  <si>
    <t>Project</t>
  </si>
  <si>
    <t>List of suitable vendors:</t>
  </si>
  <si>
    <t>Qty.</t>
  </si>
  <si>
    <t>en/de</t>
  </si>
  <si>
    <t>en</t>
  </si>
  <si>
    <t>Other</t>
  </si>
  <si>
    <t>HSRW</t>
  </si>
  <si>
    <t>Mouser</t>
  </si>
  <si>
    <t>Reichelt</t>
  </si>
  <si>
    <t>Conrad</t>
  </si>
  <si>
    <t>only when absolutely necessary</t>
  </si>
  <si>
    <t>Expressif Systems</t>
  </si>
  <si>
    <t>ESP32-C3-WROOM-02-N4</t>
  </si>
  <si>
    <t>356-ESP32C3WROOM02N4</t>
  </si>
  <si>
    <t>https://www.mouser.de/ProductDetail/Espressif-Systems/ESP32-C3-WROOM-02-N4?qs=stqOd1AaK7%2FqjTZKEOgfUg%3D%3D</t>
  </si>
  <si>
    <t>ESP-32</t>
  </si>
  <si>
    <t>Analog Devices</t>
  </si>
  <si>
    <t>ADXL345 Accelerometer</t>
  </si>
  <si>
    <t>ADXL345BCCZ-RL7</t>
  </si>
  <si>
    <t>584-ADXL345BCCZ-R7</t>
  </si>
  <si>
    <t>https://www.mouser.de/ProductDetail/Analog-Devices/ADXL345BCCZ-RL7?qs=WIvQP4zGaninp9Gc%252BCsJzQ%3D%3D</t>
  </si>
  <si>
    <t>81-PKM22EPPH4001-B0</t>
  </si>
  <si>
    <t>PKM22EPPH4001-B0</t>
  </si>
  <si>
    <t>Murata Electronics</t>
  </si>
  <si>
    <t>https://www.mouser.de/ProductDetail/Murata-Electronics/PKM22EPPH4001-B0?qs=flZjIlU0hx2Fke4m2iZ9MA%3D%3D</t>
  </si>
  <si>
    <t>04</t>
  </si>
  <si>
    <t>23/10/2025</t>
  </si>
  <si>
    <t>Justin Chin Cheong, Abhinav Kothari</t>
  </si>
  <si>
    <t>Knock Lock</t>
  </si>
  <si>
    <t>Keystone Electronics</t>
  </si>
  <si>
    <t>https://www.mouser.de/ProductDetail/Microchip-Technology/LM2575-3.3WT?qs=kh6iOki%2FeLFAZSEMjMNbiQ%3D%3D</t>
  </si>
  <si>
    <t>LM2575-3.3WT</t>
  </si>
  <si>
    <t>998-LM2575-3.3WT</t>
  </si>
  <si>
    <t>Microchip Technology</t>
  </si>
  <si>
    <t>534-2477</t>
  </si>
  <si>
    <t>https://www.mouser.de/ProductDetail/Keystone-Electronics/2477?qs=Q3RoVmURDolEbXnNenQutg%3D%3D</t>
  </si>
  <si>
    <t>Same Sky</t>
  </si>
  <si>
    <t>https://www.mouser.de/ProductDetail/Infineon-Technologies/IRLML6402TRPBF?qs=9%252BKlkBgLFf0HuZuONx2Ewg%3D%3D</t>
  </si>
  <si>
    <t>Infineon Technologies</t>
  </si>
  <si>
    <t>IRLML6402TRPBF</t>
  </si>
  <si>
    <t>942-IRLML6402TRPBF</t>
  </si>
  <si>
    <t>CDIL</t>
  </si>
  <si>
    <t>Bipolartransistor</t>
  </si>
  <si>
    <t>BC547B</t>
  </si>
  <si>
    <t>https://www.reichelt.de/de/de/shop/produkt/bipolartransistor_npn_45v_0_1a_0_5w_to-92-5006</t>
  </si>
  <si>
    <t>https://www.reichelt.com/de/en/shop/product/schottky_diode_do201ad_40_v_3_a-41852</t>
  </si>
  <si>
    <t>1N5822</t>
  </si>
  <si>
    <t>Schottky diode, DO201AD, 40 V, 3 A</t>
  </si>
  <si>
    <t>1N 5822</t>
  </si>
  <si>
    <t>MIC</t>
  </si>
  <si>
    <t>https://www.mouser.de/ProductDetail/DFRobot/SER0050?qs=zW32dvEIR3t5syqsDiJx%2Fw%3D%3D</t>
  </si>
  <si>
    <t>SER0050</t>
  </si>
  <si>
    <t>426-SER0050</t>
  </si>
  <si>
    <t>DFRobot</t>
  </si>
  <si>
    <t>https://www.mouser.de/ProductDetail/Same-Sky/UJ2-B-HR-G-TH?qs=HoCaDK9Nz5cuzuu5C%2FN7nw%3D%3D</t>
  </si>
  <si>
    <t>179-UJ2-B-HR-G-TH</t>
  </si>
  <si>
    <t>UJ2-B-HR-G-TH</t>
  </si>
  <si>
    <t>PKM22EPPH4001-B0 Buzzer</t>
  </si>
  <si>
    <t>2477 Battery Holder</t>
  </si>
  <si>
    <t>LM2575-3.3WT Voltage Regulator</t>
  </si>
  <si>
    <t>IRLML6402TRPBF MOSFET</t>
  </si>
  <si>
    <t>SER0050 Servo Motor</t>
  </si>
  <si>
    <t>https://www.reichelt.de/de/de/shop/produkt/rueckstellende_sicherungen_max_40a-30v_6_6s-35211</t>
  </si>
  <si>
    <t>PFRA</t>
  </si>
  <si>
    <t>PFRA 110</t>
  </si>
  <si>
    <t>Resettable fuse Ihold=1.1A, Itrip=2.2A, trip time 6.6s, max. 40 A, 30 V radial</t>
  </si>
  <si>
    <t>UJ2-B-HR-G-TH USB B Port</t>
  </si>
  <si>
    <t>https://eu.mouser.com/ProductDetail/Vishay-BC-Components/K104K15X7RF5WH5?qs=sGAEpiMZZMuMW9TJLBQkXstS33ZYjGCMau7NPGXn%2F5U%3D</t>
  </si>
  <si>
    <t>Vishay</t>
  </si>
  <si>
    <t>K104K15X7RF5WH5</t>
  </si>
  <si>
    <t>594-K104K15X7RF5WH5</t>
  </si>
  <si>
    <t>Ceramic Capacitor 0.1uF</t>
  </si>
  <si>
    <t>Electrolytic Capacitor 10uF</t>
  </si>
  <si>
    <t>Panasonic</t>
  </si>
  <si>
    <t>https://www.mouser.de/ProductDetail/Panasonic/EEU-FR1H100?qs=tfZGHB2PWd1NAbdNSgjToQ%3D%3D&amp;countrycode=DE&amp;currencycode=EUR</t>
  </si>
  <si>
    <t>EEU-FR1H100</t>
  </si>
  <si>
    <t>https://www.reichelt.de/de/de/shop/produkt/elko_radial_330_f_25_v_105_low_esr_8x11_5_mm_rm_3_5-121265</t>
  </si>
  <si>
    <t>Electrolytic Capacitor 330uF</t>
  </si>
  <si>
    <t>Electrolytic Capacitor 100uF</t>
  </si>
  <si>
    <t>EEUFR1E331</t>
  </si>
  <si>
    <t>https://www.mouser.de/ProductDetail/Panasonic/EEU-FC1C101H?qs=%2FC1U95aQ15szP%252BXx0reJVg%3D%3D</t>
  </si>
  <si>
    <t>EEU-FC1C101H</t>
  </si>
  <si>
    <t>Red LED</t>
  </si>
  <si>
    <t>https://www.reichelt.de/de/de/shop/produkt/led_3_mm_bedrahtet_rot_191_mcd_50_-10228</t>
  </si>
  <si>
    <t>DLE3MMR</t>
  </si>
  <si>
    <t>Hottech</t>
  </si>
  <si>
    <t>Green LED</t>
  </si>
  <si>
    <t>Yellow LED</t>
  </si>
  <si>
    <t>DLE3MMG</t>
  </si>
  <si>
    <t>DLE3MMY</t>
  </si>
  <si>
    <t>https://www.reichelt.de/de/de/shop/produkt/led_3_mm_bedrahtet_gruen_74_mcd_38_-10227</t>
  </si>
  <si>
    <t>https://www.reichelt.de/de/de/shop/produkt/led_3_mm_bedrahtet_gelb_210_mcd_53_-10226</t>
  </si>
  <si>
    <t>Electrolytic Capacitor 1uF</t>
  </si>
  <si>
    <t>https://www.reichelt.de/de/de/shop/produkt/subminiatur-elko_radial_1_0_f_63_v_rm_1_5_85_c_1000h_20_-18162</t>
  </si>
  <si>
    <t>Push Button</t>
  </si>
  <si>
    <t>https://www.mouser.de/ProductDetail/TE-Connectivity-PB/2-1977223-8?qs=WwRK9Mn48WC%252B3bZnlicO2g%3D%3D</t>
  </si>
  <si>
    <t>506-2-1977223-8</t>
  </si>
  <si>
    <t>2-1977223-8</t>
  </si>
  <si>
    <t>TE Connectivity</t>
  </si>
  <si>
    <t>330 uH Inductor</t>
  </si>
  <si>
    <t>Coilcraft</t>
  </si>
  <si>
    <t>RFC0810B-334KE</t>
  </si>
  <si>
    <t>994-RFC0810B-334KE</t>
  </si>
  <si>
    <t>https://www.mouser.de/ProductDetail/Coilcraft/RFC0810B-334KE?qs=ZYnrCdKdyedaHxMGgKKlpw%3D%3D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</si>
</sst>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/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right" vertical="center"/>
    </xf>
    <xf numFmtId="2" fontId="0" fillId="2" borderId="6" xfId="0" applyNumberFormat="1" applyFill="1" applyBorder="1" applyAlignment="1">
      <alignment horizontal="right"/>
    </xf>
    <xf numFmtId="2" fontId="0" fillId="2" borderId="1" xfId="0" applyNumberFormat="1" applyFill="1" applyBorder="1" applyAlignment="1">
      <alignment horizontal="right" vertical="center"/>
    </xf>
    <xf numFmtId="0" fontId="0" fillId="2" borderId="12" xfId="0" applyFill="1" applyBorder="1"/>
    <xf numFmtId="0" fontId="0" fillId="2" borderId="2" xfId="0" applyFill="1" applyBorder="1"/>
    <xf numFmtId="0" fontId="0" fillId="2" borderId="13" xfId="0" applyFill="1" applyBorder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5" xfId="0" applyFill="1" applyBorder="1" applyAlignment="1">
      <alignment horizontal="center"/>
    </xf>
    <xf numFmtId="49" fontId="0" fillId="0" borderId="6" xfId="0" applyNumberFormat="1" applyBorder="1" applyAlignment="1" applyProtection="1">
      <alignment horizontal="right"/>
      <protection locked="0"/>
    </xf>
    <xf numFmtId="14" fontId="0" fillId="0" borderId="6" xfId="0" applyNumberFormat="1" applyBorder="1" applyProtection="1"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2" fontId="0" fillId="0" borderId="3" xfId="0" applyNumberFormat="1" applyBorder="1" applyAlignment="1" applyProtection="1">
      <alignment horizontal="center" vertical="center"/>
      <protection locked="0"/>
    </xf>
    <xf numFmtId="2" fontId="1" fillId="0" borderId="3" xfId="1" applyNumberFormat="1" applyFill="1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2" fontId="0" fillId="0" borderId="4" xfId="0" applyNumberFormat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left" vertical="center" wrapText="1" indent="1"/>
      <protection locked="0"/>
    </xf>
    <xf numFmtId="0" fontId="3" fillId="0" borderId="0" xfId="0" applyFont="1" applyAlignment="1">
      <alignment wrapText="1"/>
    </xf>
    <xf numFmtId="2" fontId="1" fillId="0" borderId="4" xfId="1" applyNumberFormat="1" applyFill="1" applyBorder="1" applyAlignment="1" applyProtection="1">
      <alignment horizontal="left" vertical="center" wrapText="1"/>
      <protection locked="0"/>
    </xf>
    <xf numFmtId="2" fontId="0" fillId="0" borderId="4" xfId="0" applyNumberFormat="1" applyBorder="1" applyAlignment="1" applyProtection="1">
      <alignment horizontal="center" vertical="center" wrapText="1"/>
      <protection locked="0"/>
    </xf>
    <xf numFmtId="2" fontId="0" fillId="0" borderId="3" xfId="0" applyNumberFormat="1" applyBorder="1" applyAlignment="1" applyProtection="1">
      <alignment horizontal="center" vertical="center" wrapText="1"/>
      <protection locked="0"/>
    </xf>
    <xf numFmtId="2" fontId="0" fillId="0" borderId="7" xfId="0" applyNumberFormat="1" applyBorder="1" applyAlignment="1" applyProtection="1">
      <alignment horizontal="center" vertical="center" wrapText="1"/>
      <protection locked="0"/>
    </xf>
    <xf numFmtId="2" fontId="1" fillId="0" borderId="7" xfId="1" applyNumberFormat="1" applyFill="1" applyBorder="1" applyAlignment="1" applyProtection="1">
      <alignment horizontal="left" vertical="center" wrapText="1"/>
      <protection locked="0"/>
    </xf>
    <xf numFmtId="2" fontId="0" fillId="0" borderId="5" xfId="0" applyNumberFormat="1" applyBorder="1" applyAlignment="1" applyProtection="1">
      <alignment horizontal="center" vertical="center" wrapText="1"/>
      <protection locked="0"/>
    </xf>
    <xf numFmtId="2" fontId="1" fillId="0" borderId="5" xfId="1" applyNumberFormat="1" applyFill="1" applyBorder="1" applyAlignment="1" applyProtection="1">
      <alignment horizontal="left" vertical="center" wrapText="1"/>
      <protection locked="0"/>
    </xf>
    <xf numFmtId="0" fontId="1" fillId="0" borderId="0" xfId="1" applyAlignment="1">
      <alignment wrapText="1"/>
    </xf>
    <xf numFmtId="0" fontId="3" fillId="0" borderId="0" xfId="0" applyFont="1" applyAlignment="1">
      <alignment horizontal="left" vertical="center" wrapText="1"/>
    </xf>
    <xf numFmtId="0" fontId="4" fillId="3" borderId="3" xfId="2" applyBorder="1" applyAlignment="1">
      <alignment horizontal="center" vertical="center"/>
    </xf>
    <xf numFmtId="0" fontId="4" fillId="3" borderId="4" xfId="2" applyBorder="1" applyAlignment="1">
      <alignment horizontal="center" vertical="center"/>
    </xf>
    <xf numFmtId="0" fontId="0" fillId="0" borderId="17" xfId="0" applyBorder="1" applyAlignment="1" applyProtection="1">
      <alignment horizontal="center" vertical="center" wrapText="1"/>
      <protection locked="0"/>
    </xf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1" fillId="2" borderId="0" xfId="1" applyFill="1" applyBorder="1" applyAlignment="1">
      <alignment horizontal="left"/>
    </xf>
    <xf numFmtId="0" fontId="1" fillId="2" borderId="9" xfId="1" applyFill="1" applyBorder="1" applyAlignment="1">
      <alignment horizontal="left"/>
    </xf>
    <xf numFmtId="0" fontId="1" fillId="2" borderId="15" xfId="1" applyFill="1" applyBorder="1" applyAlignment="1">
      <alignment horizontal="left"/>
    </xf>
    <xf numFmtId="0" fontId="1" fillId="2" borderId="16" xfId="1" applyFill="1" applyBorder="1" applyAlignment="1">
      <alignment horizontal="left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9" xfId="0" applyFont="1" applyFill="1" applyBorder="1" applyAlignment="1">
      <alignment horizontal="left"/>
    </xf>
    <xf numFmtId="0" fontId="0" fillId="0" borderId="6" xfId="0" applyBorder="1" applyAlignment="1" applyProtection="1">
      <alignment horizontal="center"/>
      <protection locked="0"/>
    </xf>
    <xf numFmtId="14" fontId="0" fillId="0" borderId="6" xfId="0" applyNumberFormat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left" vertical="center"/>
    </xf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de/ProductDetail/Espressif-Systems/ESP32-C3-WROOM-02-N4?qs=stqOd1AaK7%2FqjTZKEOgfUg%3D%3D" TargetMode="External"/><Relationship Id="rId3" Type="http://schemas.openxmlformats.org/officeDocument/2006/relationships/hyperlink" Target="https://ee.hsrw.org/" TargetMode="External"/><Relationship Id="rId7" Type="http://schemas.openxmlformats.org/officeDocument/2006/relationships/hyperlink" Target="https://www.mouser.de/ProductDetail/Analog-Devices/ADXL345BCCZ-RL7?qs=WIvQP4zGaninp9Gc%252BCsJzQ%3D%3D" TargetMode="External"/><Relationship Id="rId2" Type="http://schemas.openxmlformats.org/officeDocument/2006/relationships/hyperlink" Target="https://www.mouser.de/" TargetMode="External"/><Relationship Id="rId1" Type="http://schemas.openxmlformats.org/officeDocument/2006/relationships/hyperlink" Target="https://www.reichelt.de/" TargetMode="External"/><Relationship Id="rId6" Type="http://schemas.openxmlformats.org/officeDocument/2006/relationships/hyperlink" Target="https://www.mouser.de/ProductDetail/Murata-Electronics/PKM22EPPH4001-B0?qs=flZjIlU0hx2Fke4m2iZ9MA%3D%3D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mouser.de/manufacturer/keystone/" TargetMode="External"/><Relationship Id="rId10" Type="http://schemas.openxmlformats.org/officeDocument/2006/relationships/hyperlink" Target="https://www.mouser.de/ProductDetail/Infineon-Technologies/IRLML6402TRPBF?qs=9%252BKlkBgLFf0HuZuONx2Ewg%3D%3D" TargetMode="External"/><Relationship Id="rId4" Type="http://schemas.openxmlformats.org/officeDocument/2006/relationships/hyperlink" Target="https://www.conrad.biz/" TargetMode="External"/><Relationship Id="rId9" Type="http://schemas.openxmlformats.org/officeDocument/2006/relationships/hyperlink" Target="https://www.mouser.de/ProductDetail/Same-Sky/UJ2-B-HR-G-TH?qs=HoCaDK9Nz5cuzuu5C%2FN7n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view="pageLayout" topLeftCell="A22" zoomScale="110" zoomScaleNormal="100" zoomScalePageLayoutView="110" workbookViewId="0">
      <selection activeCell="J30" sqref="J30"/>
    </sheetView>
  </sheetViews>
  <sheetFormatPr defaultColWidth="11.5546875" defaultRowHeight="14.4" x14ac:dyDescent="0.3"/>
  <cols>
    <col min="1" max="1" width="5" customWidth="1"/>
    <col min="2" max="2" width="4.88671875" customWidth="1"/>
    <col min="3" max="3" width="12.44140625" customWidth="1"/>
    <col min="4" max="4" width="14.44140625" customWidth="1"/>
    <col min="5" max="5" width="13.6640625" customWidth="1"/>
    <col min="6" max="6" width="7.6640625" customWidth="1"/>
    <col min="7" max="7" width="12.88671875" customWidth="1"/>
    <col min="8" max="8" width="8.6640625" customWidth="1"/>
    <col min="9" max="9" width="6.5546875" customWidth="1"/>
    <col min="10" max="10" width="55.33203125" customWidth="1"/>
    <col min="13" max="13" width="12.33203125" customWidth="1"/>
    <col min="20" max="20" width="9.44140625" customWidth="1"/>
    <col min="21" max="21" width="17.6640625" customWidth="1"/>
  </cols>
  <sheetData>
    <row r="1" spans="1:10" x14ac:dyDescent="0.3">
      <c r="A1" s="51" t="s">
        <v>18</v>
      </c>
      <c r="B1" s="52"/>
      <c r="C1" s="17" t="s">
        <v>48</v>
      </c>
      <c r="G1" s="5" t="s">
        <v>23</v>
      </c>
      <c r="H1" s="56" t="s">
        <v>51</v>
      </c>
      <c r="I1" s="56"/>
      <c r="J1" s="56"/>
    </row>
    <row r="2" spans="1:10" x14ac:dyDescent="0.3">
      <c r="A2" s="51" t="s">
        <v>21</v>
      </c>
      <c r="B2" s="52"/>
      <c r="C2" s="18" t="s">
        <v>49</v>
      </c>
      <c r="G2" s="5" t="s">
        <v>20</v>
      </c>
      <c r="H2" s="57" t="s">
        <v>50</v>
      </c>
      <c r="I2" s="57"/>
      <c r="J2" s="57"/>
    </row>
    <row r="4" spans="1:10" ht="43.2" x14ac:dyDescent="0.3">
      <c r="A4" s="4" t="s">
        <v>4</v>
      </c>
      <c r="B4" s="4" t="s">
        <v>25</v>
      </c>
      <c r="C4" s="4" t="s">
        <v>6</v>
      </c>
      <c r="D4" s="4" t="s">
        <v>5</v>
      </c>
      <c r="E4" s="4" t="s">
        <v>7</v>
      </c>
      <c r="F4" s="4" t="s">
        <v>11</v>
      </c>
      <c r="G4" s="4" t="s">
        <v>8</v>
      </c>
      <c r="H4" s="4" t="s">
        <v>9</v>
      </c>
      <c r="I4" s="4" t="s">
        <v>10</v>
      </c>
      <c r="J4" s="4" t="s">
        <v>0</v>
      </c>
    </row>
    <row r="5" spans="1:10" ht="46.2" customHeight="1" x14ac:dyDescent="0.3">
      <c r="A5" s="40">
        <v>1</v>
      </c>
      <c r="B5" s="19">
        <v>1</v>
      </c>
      <c r="C5" s="20" t="s">
        <v>34</v>
      </c>
      <c r="D5" s="20" t="s">
        <v>38</v>
      </c>
      <c r="E5" s="28" t="s">
        <v>35</v>
      </c>
      <c r="F5" s="20" t="s">
        <v>30</v>
      </c>
      <c r="G5" s="29" t="s">
        <v>36</v>
      </c>
      <c r="H5" s="21">
        <v>3.12</v>
      </c>
      <c r="I5" s="21">
        <f>B5*H5</f>
        <v>3.12</v>
      </c>
      <c r="J5" s="22" t="s">
        <v>37</v>
      </c>
    </row>
    <row r="6" spans="1:10" ht="43.2" x14ac:dyDescent="0.3">
      <c r="A6" s="41">
        <v>2</v>
      </c>
      <c r="B6" s="23">
        <v>1</v>
      </c>
      <c r="C6" s="24" t="s">
        <v>39</v>
      </c>
      <c r="D6" s="24" t="s">
        <v>40</v>
      </c>
      <c r="E6" s="30" t="s">
        <v>41</v>
      </c>
      <c r="F6" s="24" t="s">
        <v>30</v>
      </c>
      <c r="G6" s="30" t="s">
        <v>42</v>
      </c>
      <c r="H6" s="25">
        <v>5.65</v>
      </c>
      <c r="I6" s="21">
        <f t="shared" ref="I6:I14" si="0">B6*H6</f>
        <v>5.65</v>
      </c>
      <c r="J6" s="31" t="s">
        <v>43</v>
      </c>
    </row>
    <row r="7" spans="1:10" ht="40.5" customHeight="1" x14ac:dyDescent="0.3">
      <c r="A7" s="41">
        <v>3</v>
      </c>
      <c r="B7" s="23">
        <v>1</v>
      </c>
      <c r="C7" s="24" t="s">
        <v>46</v>
      </c>
      <c r="D7" s="24" t="s">
        <v>80</v>
      </c>
      <c r="E7" s="24" t="s">
        <v>45</v>
      </c>
      <c r="F7" s="24" t="s">
        <v>30</v>
      </c>
      <c r="G7" s="24" t="s">
        <v>44</v>
      </c>
      <c r="H7" s="25">
        <v>0.48199999999999998</v>
      </c>
      <c r="I7" s="21">
        <f t="shared" si="0"/>
        <v>0.48199999999999998</v>
      </c>
      <c r="J7" s="31" t="s">
        <v>47</v>
      </c>
    </row>
    <row r="8" spans="1:10" ht="28.8" x14ac:dyDescent="0.3">
      <c r="A8" s="6">
        <v>4</v>
      </c>
      <c r="B8" s="24">
        <v>1</v>
      </c>
      <c r="C8" s="38" t="s">
        <v>52</v>
      </c>
      <c r="D8" s="24" t="s">
        <v>81</v>
      </c>
      <c r="E8" s="30">
        <v>2477</v>
      </c>
      <c r="F8" s="24" t="s">
        <v>30</v>
      </c>
      <c r="G8" s="39" t="s">
        <v>57</v>
      </c>
      <c r="H8" s="32">
        <v>1.87</v>
      </c>
      <c r="I8" s="33">
        <f>B8*H8</f>
        <v>1.87</v>
      </c>
      <c r="J8" s="31" t="s">
        <v>58</v>
      </c>
    </row>
    <row r="9" spans="1:10" ht="43.2" x14ac:dyDescent="0.3">
      <c r="A9" s="6">
        <v>5</v>
      </c>
      <c r="B9" s="24">
        <v>1</v>
      </c>
      <c r="C9" s="24" t="s">
        <v>56</v>
      </c>
      <c r="D9" s="24" t="s">
        <v>82</v>
      </c>
      <c r="E9" s="24" t="s">
        <v>54</v>
      </c>
      <c r="F9" s="24" t="s">
        <v>30</v>
      </c>
      <c r="G9" s="24" t="s">
        <v>55</v>
      </c>
      <c r="H9" s="32">
        <v>1.48</v>
      </c>
      <c r="I9" s="33">
        <f>B9*H9</f>
        <v>1.48</v>
      </c>
      <c r="J9" s="31" t="s">
        <v>53</v>
      </c>
    </row>
    <row r="10" spans="1:10" ht="14.4" customHeight="1" x14ac:dyDescent="0.3">
      <c r="A10" s="6">
        <v>6</v>
      </c>
      <c r="B10" s="24">
        <v>2</v>
      </c>
      <c r="C10" s="24" t="s">
        <v>86</v>
      </c>
      <c r="D10" s="24" t="s">
        <v>88</v>
      </c>
      <c r="E10" s="24" t="s">
        <v>87</v>
      </c>
      <c r="F10" s="24" t="s">
        <v>29</v>
      </c>
      <c r="G10" s="24">
        <v>261</v>
      </c>
      <c r="H10" s="32">
        <v>0.28000000000000003</v>
      </c>
      <c r="I10" s="33">
        <f>B10*H10</f>
        <v>0.56000000000000005</v>
      </c>
      <c r="J10" s="31" t="s">
        <v>85</v>
      </c>
    </row>
    <row r="11" spans="1:10" ht="28.8" x14ac:dyDescent="0.3">
      <c r="A11" s="7">
        <v>7</v>
      </c>
      <c r="B11" s="26">
        <v>1</v>
      </c>
      <c r="C11" s="26" t="s">
        <v>59</v>
      </c>
      <c r="D11" s="26" t="s">
        <v>89</v>
      </c>
      <c r="E11" s="26" t="s">
        <v>79</v>
      </c>
      <c r="F11" s="26" t="s">
        <v>30</v>
      </c>
      <c r="G11" s="26" t="s">
        <v>78</v>
      </c>
      <c r="H11" s="34">
        <v>1.29</v>
      </c>
      <c r="I11" s="33">
        <f>B11*H11</f>
        <v>1.29</v>
      </c>
      <c r="J11" s="35" t="s">
        <v>77</v>
      </c>
    </row>
    <row r="12" spans="1:10" ht="43.2" x14ac:dyDescent="0.3">
      <c r="A12" s="6">
        <v>8</v>
      </c>
      <c r="B12" s="26">
        <v>1</v>
      </c>
      <c r="C12" s="26" t="s">
        <v>61</v>
      </c>
      <c r="D12" s="26" t="s">
        <v>83</v>
      </c>
      <c r="E12" s="26" t="s">
        <v>62</v>
      </c>
      <c r="F12" s="26" t="s">
        <v>30</v>
      </c>
      <c r="G12" s="26" t="s">
        <v>63</v>
      </c>
      <c r="H12" s="34">
        <v>0.35299999999999998</v>
      </c>
      <c r="I12" s="33">
        <f t="shared" si="0"/>
        <v>0.35299999999999998</v>
      </c>
      <c r="J12" s="35" t="s">
        <v>60</v>
      </c>
    </row>
    <row r="13" spans="1:10" ht="28.8" x14ac:dyDescent="0.3">
      <c r="A13" s="6">
        <v>9</v>
      </c>
      <c r="B13" s="26">
        <v>1</v>
      </c>
      <c r="C13" s="26" t="s">
        <v>64</v>
      </c>
      <c r="D13" s="26" t="s">
        <v>65</v>
      </c>
      <c r="E13" s="26" t="s">
        <v>66</v>
      </c>
      <c r="F13" s="26" t="s">
        <v>29</v>
      </c>
      <c r="G13" s="26">
        <v>203</v>
      </c>
      <c r="H13" s="34">
        <v>0.04</v>
      </c>
      <c r="I13" s="33">
        <f t="shared" si="0"/>
        <v>0.04</v>
      </c>
      <c r="J13" s="35" t="s">
        <v>67</v>
      </c>
    </row>
    <row r="14" spans="1:10" ht="43.2" x14ac:dyDescent="0.3">
      <c r="A14" s="7">
        <v>10</v>
      </c>
      <c r="B14" s="26">
        <v>4</v>
      </c>
      <c r="C14" s="26" t="s">
        <v>72</v>
      </c>
      <c r="D14" s="26" t="s">
        <v>70</v>
      </c>
      <c r="E14" s="26" t="s">
        <v>69</v>
      </c>
      <c r="F14" s="26" t="s">
        <v>31</v>
      </c>
      <c r="G14" s="26" t="s">
        <v>71</v>
      </c>
      <c r="H14" s="34">
        <v>0.15</v>
      </c>
      <c r="I14" s="33">
        <f t="shared" si="0"/>
        <v>0.6</v>
      </c>
      <c r="J14" s="35" t="s">
        <v>68</v>
      </c>
    </row>
    <row r="15" spans="1:10" ht="28.8" x14ac:dyDescent="0.3">
      <c r="A15" s="6">
        <v>11</v>
      </c>
      <c r="B15" s="26">
        <v>1</v>
      </c>
      <c r="C15" s="26" t="s">
        <v>76</v>
      </c>
      <c r="D15" s="26" t="s">
        <v>84</v>
      </c>
      <c r="E15" s="26" t="s">
        <v>74</v>
      </c>
      <c r="F15" s="26" t="s">
        <v>30</v>
      </c>
      <c r="G15" s="26" t="s">
        <v>75</v>
      </c>
      <c r="H15" s="34">
        <v>5.16</v>
      </c>
      <c r="I15" s="33">
        <f t="shared" ref="I15:I21" si="1">B15*H15</f>
        <v>5.16</v>
      </c>
      <c r="J15" s="35" t="s">
        <v>73</v>
      </c>
    </row>
    <row r="16" spans="1:10" ht="43.2" x14ac:dyDescent="0.3">
      <c r="A16" s="6">
        <v>12</v>
      </c>
      <c r="B16" s="27">
        <v>4</v>
      </c>
      <c r="C16" s="27" t="s">
        <v>91</v>
      </c>
      <c r="D16" s="27" t="s">
        <v>94</v>
      </c>
      <c r="E16" s="27" t="s">
        <v>92</v>
      </c>
      <c r="F16" s="27" t="s">
        <v>30</v>
      </c>
      <c r="G16" s="27" t="s">
        <v>93</v>
      </c>
      <c r="H16" s="36">
        <v>0.13</v>
      </c>
      <c r="I16" s="33">
        <f t="shared" si="1"/>
        <v>0.52</v>
      </c>
      <c r="J16" s="37" t="s">
        <v>90</v>
      </c>
    </row>
    <row r="17" spans="1:10" ht="43.2" x14ac:dyDescent="0.3">
      <c r="A17" s="6">
        <v>13</v>
      </c>
      <c r="B17" s="26">
        <v>2</v>
      </c>
      <c r="C17" s="42" t="s">
        <v>96</v>
      </c>
      <c r="D17" s="26" t="s">
        <v>95</v>
      </c>
      <c r="E17" s="27" t="s">
        <v>98</v>
      </c>
      <c r="F17" s="26" t="s">
        <v>29</v>
      </c>
      <c r="G17" s="26">
        <v>385</v>
      </c>
      <c r="H17" s="34">
        <v>0.11</v>
      </c>
      <c r="I17" s="33">
        <f t="shared" si="1"/>
        <v>0.22</v>
      </c>
      <c r="J17" s="35" t="s">
        <v>97</v>
      </c>
    </row>
    <row r="18" spans="1:10" ht="28.8" x14ac:dyDescent="0.3">
      <c r="A18" s="6">
        <v>14</v>
      </c>
      <c r="B18" s="26">
        <v>1</v>
      </c>
      <c r="C18" s="42" t="s">
        <v>96</v>
      </c>
      <c r="D18" s="26" t="s">
        <v>100</v>
      </c>
      <c r="E18" s="27" t="s">
        <v>102</v>
      </c>
      <c r="F18" s="26" t="s">
        <v>29</v>
      </c>
      <c r="G18" s="26">
        <v>409</v>
      </c>
      <c r="H18" s="34">
        <v>0.26</v>
      </c>
      <c r="I18" s="33">
        <f t="shared" si="1"/>
        <v>0.26</v>
      </c>
      <c r="J18" s="35" t="s">
        <v>99</v>
      </c>
    </row>
    <row r="19" spans="1:10" ht="28.8" x14ac:dyDescent="0.3">
      <c r="A19" s="6">
        <v>15</v>
      </c>
      <c r="B19" s="26">
        <v>1</v>
      </c>
      <c r="C19" s="42" t="s">
        <v>96</v>
      </c>
      <c r="D19" s="26" t="s">
        <v>101</v>
      </c>
      <c r="E19" s="27" t="s">
        <v>104</v>
      </c>
      <c r="F19" s="26" t="s">
        <v>29</v>
      </c>
      <c r="G19" s="26">
        <v>397</v>
      </c>
      <c r="H19" s="34">
        <v>0.14000000000000001</v>
      </c>
      <c r="I19" s="33">
        <f t="shared" si="1"/>
        <v>0.14000000000000001</v>
      </c>
      <c r="J19" s="35" t="s">
        <v>103</v>
      </c>
    </row>
    <row r="20" spans="1:10" ht="28.8" x14ac:dyDescent="0.3">
      <c r="A20" s="6">
        <v>16</v>
      </c>
      <c r="B20" s="26">
        <v>1</v>
      </c>
      <c r="C20" s="42" t="s">
        <v>96</v>
      </c>
      <c r="D20" s="26" t="s">
        <v>115</v>
      </c>
      <c r="E20" s="27"/>
      <c r="F20" s="26" t="s">
        <v>29</v>
      </c>
      <c r="G20" s="26">
        <v>378</v>
      </c>
      <c r="H20" s="34">
        <v>0.02</v>
      </c>
      <c r="I20" s="33">
        <f t="shared" si="1"/>
        <v>0.02</v>
      </c>
      <c r="J20" s="35" t="s">
        <v>116</v>
      </c>
    </row>
    <row r="21" spans="1:10" ht="14.4" customHeight="1" x14ac:dyDescent="0.3">
      <c r="A21" s="6">
        <v>17</v>
      </c>
      <c r="B21" s="26">
        <v>1</v>
      </c>
      <c r="C21" s="42" t="s">
        <v>108</v>
      </c>
      <c r="D21" s="26" t="s">
        <v>105</v>
      </c>
      <c r="E21" s="27" t="s">
        <v>107</v>
      </c>
      <c r="F21" s="26" t="s">
        <v>29</v>
      </c>
      <c r="G21" s="26">
        <v>498</v>
      </c>
      <c r="H21" s="34">
        <v>0.06</v>
      </c>
      <c r="I21" s="33">
        <f t="shared" si="1"/>
        <v>0.06</v>
      </c>
      <c r="J21" s="35" t="s">
        <v>106</v>
      </c>
    </row>
    <row r="22" spans="1:10" ht="28.8" x14ac:dyDescent="0.3">
      <c r="A22" s="6">
        <v>18</v>
      </c>
      <c r="B22" s="26">
        <v>1</v>
      </c>
      <c r="C22" s="42" t="s">
        <v>108</v>
      </c>
      <c r="D22" s="26" t="s">
        <v>109</v>
      </c>
      <c r="E22" s="27" t="s">
        <v>111</v>
      </c>
      <c r="F22" s="26" t="s">
        <v>29</v>
      </c>
      <c r="G22" s="26">
        <v>497</v>
      </c>
      <c r="H22" s="34">
        <v>0.06</v>
      </c>
      <c r="I22" s="33">
        <f t="shared" ref="I22:I25" si="2">B22*H22</f>
        <v>0.06</v>
      </c>
      <c r="J22" s="35" t="s">
        <v>113</v>
      </c>
    </row>
    <row r="23" spans="1:10" ht="28.8" x14ac:dyDescent="0.3">
      <c r="A23" s="6">
        <v>19</v>
      </c>
      <c r="B23" s="26">
        <v>1</v>
      </c>
      <c r="C23" s="42" t="s">
        <v>108</v>
      </c>
      <c r="D23" s="26" t="s">
        <v>110</v>
      </c>
      <c r="E23" s="27" t="s">
        <v>112</v>
      </c>
      <c r="F23" s="26" t="s">
        <v>29</v>
      </c>
      <c r="G23" s="26">
        <v>471</v>
      </c>
      <c r="H23" s="34">
        <v>0.06</v>
      </c>
      <c r="I23" s="33">
        <f t="shared" si="2"/>
        <v>0.06</v>
      </c>
      <c r="J23" s="35" t="s">
        <v>114</v>
      </c>
    </row>
    <row r="24" spans="1:10" ht="28.8" x14ac:dyDescent="0.3">
      <c r="A24" s="6">
        <v>20</v>
      </c>
      <c r="B24" s="42">
        <v>1</v>
      </c>
      <c r="C24" s="42" t="s">
        <v>121</v>
      </c>
      <c r="D24" s="26" t="s">
        <v>117</v>
      </c>
      <c r="E24" s="26" t="s">
        <v>120</v>
      </c>
      <c r="F24" s="26" t="s">
        <v>30</v>
      </c>
      <c r="G24" s="26" t="s">
        <v>119</v>
      </c>
      <c r="H24" s="34">
        <v>0.16</v>
      </c>
      <c r="I24" s="33">
        <f t="shared" si="2"/>
        <v>0.16</v>
      </c>
      <c r="J24" s="35" t="s">
        <v>118</v>
      </c>
    </row>
    <row r="25" spans="1:10" ht="28.8" x14ac:dyDescent="0.3">
      <c r="A25" s="6">
        <v>21</v>
      </c>
      <c r="B25" s="26">
        <v>1</v>
      </c>
      <c r="C25" s="42" t="s">
        <v>123</v>
      </c>
      <c r="D25" s="42" t="s">
        <v>122</v>
      </c>
      <c r="E25" s="26" t="s">
        <v>124</v>
      </c>
      <c r="F25" s="26" t="s">
        <v>30</v>
      </c>
      <c r="G25" s="26" t="s">
        <v>125</v>
      </c>
      <c r="H25" s="34">
        <v>1.26</v>
      </c>
      <c r="I25" s="33">
        <f t="shared" si="2"/>
        <v>1.26</v>
      </c>
      <c r="J25" s="35" t="s">
        <v>126</v>
      </c>
    </row>
    <row r="26" spans="1:10" x14ac:dyDescent="0.3">
      <c r="A26" s="6">
        <v>22</v>
      </c>
      <c r="B26" s="26"/>
      <c r="C26" s="26"/>
      <c r="D26" s="26"/>
      <c r="E26" s="26"/>
      <c r="F26" s="26"/>
      <c r="G26" s="26"/>
      <c r="H26" s="34"/>
      <c r="I26" s="33"/>
      <c r="J26" s="35"/>
    </row>
    <row r="28" spans="1:10" x14ac:dyDescent="0.3">
      <c r="G28" s="58" t="s">
        <v>1</v>
      </c>
      <c r="H28" s="58"/>
      <c r="I28" s="10">
        <f>SUM(I5:I26)</f>
        <v>23.364999999999998</v>
      </c>
      <c r="J28" s="61"/>
    </row>
    <row r="29" spans="1:10" x14ac:dyDescent="0.3">
      <c r="A29" s="11" t="s">
        <v>24</v>
      </c>
      <c r="B29" s="12"/>
      <c r="C29" s="12"/>
      <c r="D29" s="12"/>
      <c r="E29" s="13"/>
      <c r="G29" s="59" t="s">
        <v>3</v>
      </c>
      <c r="H29" s="59"/>
      <c r="I29" s="8">
        <f>I28*0.19</f>
        <v>4.4393500000000001</v>
      </c>
      <c r="J29" s="61"/>
    </row>
    <row r="30" spans="1:10" x14ac:dyDescent="0.3">
      <c r="A30" s="53" t="s">
        <v>16</v>
      </c>
      <c r="B30" s="54"/>
      <c r="C30" s="14" t="s">
        <v>15</v>
      </c>
      <c r="D30" s="54" t="s">
        <v>17</v>
      </c>
      <c r="E30" s="55"/>
      <c r="G30" s="59" t="s">
        <v>2</v>
      </c>
      <c r="H30" s="59"/>
      <c r="I30" s="9">
        <f>I28*1.19</f>
        <v>27.804349999999996</v>
      </c>
      <c r="J30" s="61"/>
    </row>
    <row r="31" spans="1:10" x14ac:dyDescent="0.3">
      <c r="A31" s="43" t="s">
        <v>29</v>
      </c>
      <c r="B31" s="44"/>
      <c r="C31" s="15" t="s">
        <v>27</v>
      </c>
      <c r="D31" s="47" t="s">
        <v>22</v>
      </c>
      <c r="E31" s="48"/>
      <c r="I31" s="60"/>
    </row>
    <row r="32" spans="1:10" x14ac:dyDescent="0.3">
      <c r="A32" s="43" t="s">
        <v>30</v>
      </c>
      <c r="B32" s="44"/>
      <c r="C32" s="15" t="s">
        <v>26</v>
      </c>
      <c r="D32" s="47" t="s">
        <v>19</v>
      </c>
      <c r="E32" s="48"/>
    </row>
    <row r="33" spans="1:8" x14ac:dyDescent="0.3">
      <c r="A33" s="43" t="s">
        <v>31</v>
      </c>
      <c r="B33" s="44"/>
      <c r="C33" s="15" t="s">
        <v>26</v>
      </c>
      <c r="D33" s="47" t="s">
        <v>13</v>
      </c>
      <c r="E33" s="48"/>
      <c r="H33" t="s">
        <v>12</v>
      </c>
    </row>
    <row r="34" spans="1:8" x14ac:dyDescent="0.3">
      <c r="A34" s="45" t="s">
        <v>32</v>
      </c>
      <c r="B34" s="46"/>
      <c r="C34" s="16" t="s">
        <v>26</v>
      </c>
      <c r="D34" s="49" t="s">
        <v>14</v>
      </c>
      <c r="E34" s="50"/>
    </row>
    <row r="35" spans="1:8" x14ac:dyDescent="0.3">
      <c r="A35" s="45" t="s">
        <v>28</v>
      </c>
      <c r="B35" s="46"/>
      <c r="C35" s="16"/>
      <c r="D35" s="49" t="s">
        <v>33</v>
      </c>
      <c r="E35" s="50"/>
    </row>
    <row r="50" spans="1:10" x14ac:dyDescent="0.3">
      <c r="A50" s="2"/>
      <c r="B50" s="2"/>
      <c r="C50" s="1"/>
      <c r="D50" s="2"/>
      <c r="E50" s="1"/>
      <c r="F50" s="2"/>
      <c r="G50" s="2"/>
      <c r="H50" s="2"/>
      <c r="I50" s="2"/>
      <c r="J50" s="2"/>
    </row>
    <row r="51" spans="1:10" x14ac:dyDescent="0.3">
      <c r="A51" s="1"/>
      <c r="B51" s="1"/>
      <c r="C51" s="2"/>
      <c r="D51" s="1"/>
      <c r="E51" s="2"/>
      <c r="F51" s="2"/>
      <c r="G51" s="1"/>
      <c r="H51" s="1"/>
      <c r="I51" s="1"/>
      <c r="J51" s="3"/>
    </row>
    <row r="52" spans="1:10" x14ac:dyDescent="0.3">
      <c r="A52" s="1"/>
      <c r="B52" s="1"/>
      <c r="C52" s="2"/>
      <c r="D52" s="1"/>
      <c r="E52" s="1"/>
      <c r="F52" s="2"/>
      <c r="G52" s="1"/>
      <c r="H52" s="1"/>
      <c r="I52" s="1"/>
      <c r="J52" s="3"/>
    </row>
    <row r="53" spans="1:10" x14ac:dyDescent="0.3">
      <c r="A53" s="1"/>
      <c r="B53" s="1"/>
      <c r="C53" s="2"/>
      <c r="D53" s="2"/>
      <c r="E53" s="1"/>
      <c r="F53" s="2"/>
      <c r="G53" s="1"/>
      <c r="H53" s="1"/>
      <c r="I53" s="1"/>
      <c r="J53" s="3"/>
    </row>
    <row r="54" spans="1:10" x14ac:dyDescent="0.3">
      <c r="A54" s="1"/>
      <c r="B54" s="1"/>
      <c r="C54" s="2"/>
      <c r="D54" s="1"/>
      <c r="E54" s="1"/>
      <c r="F54" s="2"/>
      <c r="G54" s="1"/>
      <c r="H54" s="1"/>
      <c r="I54" s="1"/>
      <c r="J54" s="3"/>
    </row>
    <row r="55" spans="1:10" x14ac:dyDescent="0.3">
      <c r="A55" s="1"/>
      <c r="B55" s="1"/>
      <c r="C55" s="1"/>
      <c r="D55" s="1"/>
      <c r="E55" s="1"/>
      <c r="F55" s="2"/>
      <c r="G55" s="1"/>
      <c r="H55" s="1"/>
      <c r="I55" s="1"/>
      <c r="J55" s="3"/>
    </row>
    <row r="56" spans="1:10" x14ac:dyDescent="0.3">
      <c r="A56" s="1"/>
      <c r="B56" s="1"/>
      <c r="C56" s="2"/>
      <c r="D56" s="1"/>
      <c r="E56" s="1"/>
      <c r="F56" s="2"/>
      <c r="G56" s="1"/>
      <c r="H56" s="1"/>
      <c r="I56" s="1"/>
      <c r="J56" s="3"/>
    </row>
    <row r="57" spans="1:10" x14ac:dyDescent="0.3">
      <c r="A57" s="1"/>
      <c r="B57" s="1"/>
      <c r="C57" s="2"/>
      <c r="D57" s="1"/>
      <c r="E57" s="1"/>
      <c r="F57" s="2"/>
      <c r="G57" s="1"/>
      <c r="H57" s="1"/>
      <c r="I57" s="1"/>
      <c r="J57" s="3"/>
    </row>
  </sheetData>
  <mergeCells count="19">
    <mergeCell ref="H1:J1"/>
    <mergeCell ref="H2:J2"/>
    <mergeCell ref="G28:H28"/>
    <mergeCell ref="G29:H29"/>
    <mergeCell ref="G30:H30"/>
    <mergeCell ref="A1:B1"/>
    <mergeCell ref="A2:B2"/>
    <mergeCell ref="A30:B30"/>
    <mergeCell ref="A31:B31"/>
    <mergeCell ref="D30:E30"/>
    <mergeCell ref="A32:B32"/>
    <mergeCell ref="A33:B33"/>
    <mergeCell ref="A35:B35"/>
    <mergeCell ref="D31:E31"/>
    <mergeCell ref="D32:E32"/>
    <mergeCell ref="D33:E33"/>
    <mergeCell ref="D35:E35"/>
    <mergeCell ref="A34:B34"/>
    <mergeCell ref="D34:E34"/>
  </mergeCells>
  <phoneticPr fontId="5" type="noConversion"/>
  <dataValidations count="1">
    <dataValidation type="list" allowBlank="1" showInputMessage="1" showErrorMessage="1" sqref="F5:F26" xr:uid="{00000000-0002-0000-0000-000000000000}">
      <formula1>$A$31:$A$35</formula1>
    </dataValidation>
  </dataValidations>
  <hyperlinks>
    <hyperlink ref="D33" r:id="rId1" xr:uid="{00000000-0004-0000-0000-000000000000}"/>
    <hyperlink ref="D32" r:id="rId2" xr:uid="{00000000-0004-0000-0000-000001000000}"/>
    <hyperlink ref="D31" r:id="rId3" xr:uid="{00000000-0004-0000-0000-000002000000}"/>
    <hyperlink ref="D34" r:id="rId4" xr:uid="{00000000-0004-0000-0000-000004000000}"/>
    <hyperlink ref="C8" r:id="rId5" display="https://www.mouser.de/manufacturer/keystone/" xr:uid="{B1F4DA8D-BD2D-43B5-89B1-25ABF1C0529C}"/>
    <hyperlink ref="J7" r:id="rId6" xr:uid="{4987D0AF-D5AF-4E59-98D4-4D42395D39EC}"/>
    <hyperlink ref="J6" r:id="rId7" xr:uid="{9F9E23C2-0CE5-4F54-A453-2FB0482436B8}"/>
    <hyperlink ref="J5" r:id="rId8" xr:uid="{98A04EE6-D62B-4687-AC62-05CBC3BC7F14}"/>
    <hyperlink ref="J11" r:id="rId9" xr:uid="{E0F5E5CE-E58B-4232-8792-169F1500BA12}"/>
    <hyperlink ref="J12" r:id="rId10" xr:uid="{85611FA3-DA6B-4401-BC4A-CB8B8F5F9061}"/>
  </hyperlinks>
  <pageMargins left="0.25" right="0.25" top="0.75" bottom="0.75" header="0.3" footer="0.3"/>
  <pageSetup paperSize="9" orientation="landscape" r:id="rId11"/>
  <headerFooter>
    <oddHeader>&amp;CParts list
Practical Electronics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  <Company>Hochschule Rhein-Waal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Muhs, Friedrich</dc:creator>
  <cp:lastModifiedBy>Abhinav Kothari</cp:lastModifiedBy>
  <cp:lastPrinted>2017-02-08T11:39:48Z</cp:lastPrinted>
  <dcterms:created xsi:type="dcterms:W3CDTF">2017-02-06T13:00:47Z</dcterms:created>
  <dcterms:modified xsi:type="dcterms:W3CDTF">2025-11-03T14:27:01Z</dcterms:modified>
</cp:coreProperties>
</file>