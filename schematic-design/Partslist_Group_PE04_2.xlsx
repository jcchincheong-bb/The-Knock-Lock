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d1c0a53281c2ab/Documents/University/Studies/Sem 5/Practical Electronics/pe04/schematic-design/"/>
    </mc:Choice>
  </mc:AlternateContent>
  <xr:revisionPtr revIDLastSave="133" documentId="13_ncr:1_{23A68183-9883-4898-B30F-B2C1DE7AC4B9}" xr6:coauthVersionLast="47" xr6:coauthVersionMax="47" xr10:uidLastSave="{038F8572-BD6D-4893-8699-53EA3B6121D6}"/>
  <workbookProtection lockStructure="1"/>
  <bookViews>
    <workbookView xWindow="22932" yWindow="-60" windowWidth="23256" windowHeight="12456" xr2:uid="{00000000-000D-0000-FFFF-FFFF00000000}"/>
  </bookViews>
  <sheets>
    <sheet name="Par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2" i="5"/>
  <c r="I5" i="5"/>
  <c r="I6" i="5" l="1"/>
  <c r="I7" i="5"/>
  <c r="I8" i="5"/>
  <c r="I9" i="5"/>
  <c r="I10" i="5"/>
  <c r="I11" i="5"/>
  <c r="I25" i="5" l="1"/>
  <c r="I27" i="5" l="1"/>
  <c r="I26" i="5"/>
</calcChain>
</file>

<file path=xl/sharedStrings.xml><?xml version="1.0" encoding="utf-8"?>
<sst xmlns="http://schemas.openxmlformats.org/spreadsheetml/2006/main" count="93" uniqueCount="80">
  <si>
    <t>Link</t>
  </si>
  <si>
    <t>total price*</t>
  </si>
  <si>
    <t>total price inclusive VAT:</t>
  </si>
  <si>
    <t>value added tax (VAT)</t>
  </si>
  <si>
    <t>No.</t>
  </si>
  <si>
    <t>component</t>
  </si>
  <si>
    <t>manufacturer</t>
  </si>
  <si>
    <t>ordering code (manufacturer)</t>
  </si>
  <si>
    <t>ordering code (vendor)</t>
  </si>
  <si>
    <t>Price per unit €*</t>
  </si>
  <si>
    <t>Price €*</t>
  </si>
  <si>
    <t>vendor</t>
  </si>
  <si>
    <t>*without value added tax (VAT)</t>
  </si>
  <si>
    <t>https://www.reichelt.de/</t>
  </si>
  <si>
    <t>https://www.conrad.biz/</t>
  </si>
  <si>
    <t>language</t>
  </si>
  <si>
    <t>shop</t>
  </si>
  <si>
    <t>homepage</t>
  </si>
  <si>
    <t>Group no.</t>
  </si>
  <si>
    <t>https://www.mouser.de/</t>
  </si>
  <si>
    <t>Team members</t>
  </si>
  <si>
    <t>Date</t>
  </si>
  <si>
    <t>https://ee.hsrw.org/</t>
  </si>
  <si>
    <t>Project</t>
  </si>
  <si>
    <t>List of suitable vendors:</t>
  </si>
  <si>
    <t>Qty.</t>
  </si>
  <si>
    <t>en/de</t>
  </si>
  <si>
    <t>en</t>
  </si>
  <si>
    <t>Other</t>
  </si>
  <si>
    <t>HSRW</t>
  </si>
  <si>
    <t>Mouser</t>
  </si>
  <si>
    <t>Reichelt</t>
  </si>
  <si>
    <t>Conrad</t>
  </si>
  <si>
    <t>only when absolutely necessary</t>
  </si>
  <si>
    <t>04</t>
  </si>
  <si>
    <t>Justin Chin Cheong, Abhinav Kothari</t>
  </si>
  <si>
    <t>Knock Lock</t>
  </si>
  <si>
    <t>https://www.mouser.de/ProductDetail/Microchip-Technology/LM2575-3.3WT?qs=kh6iOki%2FeLFAZSEMjMNbiQ%3D%3D</t>
  </si>
  <si>
    <t>LM2575-3.3WT</t>
  </si>
  <si>
    <t>998-LM2575-3.3WT</t>
  </si>
  <si>
    <t>Microchip Technology</t>
  </si>
  <si>
    <t>https://www.mouser.de/ProductDetail/Infineon-Technologies/IRLML6402TRPBF?qs=9%252BKlkBgLFf0HuZuONx2Ewg%3D%3D</t>
  </si>
  <si>
    <t>Infineon Technologies</t>
  </si>
  <si>
    <t>IRLML6402TRPBF</t>
  </si>
  <si>
    <t>942-IRLML6402TRPBF</t>
  </si>
  <si>
    <t>https://www.reichelt.com/de/en/shop/product/schottky_diode_do201ad_40_v_3_a-41852</t>
  </si>
  <si>
    <t>1N5822</t>
  </si>
  <si>
    <t>Schottky diode, DO201AD, 40 V, 3 A</t>
  </si>
  <si>
    <t>1N 5822</t>
  </si>
  <si>
    <t>MIC</t>
  </si>
  <si>
    <t>https://www.mouser.de/ProductDetail/DFRobot/SER0050?qs=zW32dvEIR3t5syqsDiJx%2Fw%3D%3D</t>
  </si>
  <si>
    <t>SER0050</t>
  </si>
  <si>
    <t>426-SER0050</t>
  </si>
  <si>
    <t>DFRobot</t>
  </si>
  <si>
    <t>LM2575-3.3WT Voltage Regulator</t>
  </si>
  <si>
    <t>IRLML6402TRPBF MOSFET</t>
  </si>
  <si>
    <t>SER0050 Servo Motor</t>
  </si>
  <si>
    <t>https://eu.mouser.com/ProductDetail/Vishay-BC-Components/K104K15X7RF5WH5?qs=sGAEpiMZZMuMW9TJLBQkXstS33ZYjGCMau7NPGXn%2F5U%3D</t>
  </si>
  <si>
    <t>Vishay</t>
  </si>
  <si>
    <t>K104K15X7RF5WH5</t>
  </si>
  <si>
    <t>594-K104K15X7RF5WH5</t>
  </si>
  <si>
    <t>Ceramic Capacitor 0.1uF</t>
  </si>
  <si>
    <t>330 uH Inductor</t>
  </si>
  <si>
    <t>Coilcraft</t>
  </si>
  <si>
    <t>RFC0810B-334KE</t>
  </si>
  <si>
    <t>994-RFC0810B-334KE</t>
  </si>
  <si>
    <t>https://www.mouser.de/ProductDetail/Coilcraft/RFC0810B-334KE?qs=ZYnrCdKdyedaHxMGgKKlpw%3D%3D</t>
  </si>
  <si>
    <t>https://www.mouser.de/ProductDetail/GCT/USB3145-30-1-A?qs=KUoIvG%2F9IlYD1lvSRu5iyg%3D%3D</t>
  </si>
  <si>
    <t>640-USB3145-30-1-A</t>
  </si>
  <si>
    <t>USB3145-30-1-A</t>
  </si>
  <si>
    <t>GCT</t>
  </si>
  <si>
    <t>https://www.mouser.de/ProductDetail/Eagle-Plastic-Devices/12BH342A-GR?qs=GYzcNiWpw3fGsZG%2F3838jw%3D%3D</t>
  </si>
  <si>
    <t>12BH342A-GR</t>
  </si>
  <si>
    <t>12BH342A-GR Battery Holder</t>
  </si>
  <si>
    <t>Eagle Plastic Devices</t>
  </si>
  <si>
    <t>179-TS026660BK260LCR</t>
  </si>
  <si>
    <t>TS02-66-60-BK-260-LCR-D</t>
  </si>
  <si>
    <t>Push Button TS02-66-60-BK-260-LCR-D</t>
  </si>
  <si>
    <t>Same Sky</t>
  </si>
  <si>
    <t>https://www.mouser.de/ProductDetail/Same-Sky/TS02-66-60-BK-260-LCR-D?qs=A6eO%252BMLsxmQnLv1ZYEDDrQ%3D%3D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</si>
</sst>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0" fillId="2" borderId="4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right" vertical="center"/>
    </xf>
    <xf numFmtId="2" fontId="0" fillId="2" borderId="6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 vertical="center"/>
    </xf>
    <xf numFmtId="0" fontId="0" fillId="2" borderId="12" xfId="0" applyFill="1" applyBorder="1"/>
    <xf numFmtId="0" fontId="0" fillId="2" borderId="2" xfId="0" applyFill="1" applyBorder="1"/>
    <xf numFmtId="0" fontId="0" fillId="2" borderId="13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/>
    </xf>
    <xf numFmtId="49" fontId="0" fillId="0" borderId="6" xfId="0" applyNumberFormat="1" applyBorder="1" applyAlignment="1" applyProtection="1">
      <alignment horizontal="right"/>
      <protection locked="0"/>
    </xf>
    <xf numFmtId="14" fontId="0" fillId="0" borderId="6" xfId="0" applyNumberFormat="1" applyBorder="1" applyProtection="1"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wrapText="1"/>
    </xf>
    <xf numFmtId="2" fontId="1" fillId="0" borderId="4" xfId="1" applyNumberFormat="1" applyFill="1" applyBorder="1" applyAlignment="1" applyProtection="1">
      <alignment horizontal="left" vertical="center" wrapText="1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 vertical="center" wrapText="1"/>
      <protection locked="0"/>
    </xf>
    <xf numFmtId="2" fontId="0" fillId="0" borderId="7" xfId="0" applyNumberFormat="1" applyBorder="1" applyAlignment="1" applyProtection="1">
      <alignment horizontal="center" vertical="center" wrapText="1"/>
      <protection locked="0"/>
    </xf>
    <xf numFmtId="2" fontId="1" fillId="0" borderId="7" xfId="1" applyNumberFormat="1" applyFill="1" applyBorder="1" applyAlignment="1" applyProtection="1">
      <alignment horizontal="left" vertical="center" wrapText="1"/>
      <protection locked="0"/>
    </xf>
    <xf numFmtId="2" fontId="0" fillId="0" borderId="5" xfId="0" applyNumberFormat="1" applyBorder="1" applyAlignment="1" applyProtection="1">
      <alignment horizontal="center" vertical="center" wrapText="1"/>
      <protection locked="0"/>
    </xf>
    <xf numFmtId="2" fontId="1" fillId="0" borderId="5" xfId="1" applyNumberForma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0" fillId="0" borderId="17" xfId="0" applyBorder="1" applyAlignment="1" applyProtection="1">
      <alignment horizontal="center" vertical="center" wrapText="1"/>
      <protection locked="0"/>
    </xf>
    <xf numFmtId="2" fontId="0" fillId="0" borderId="0" xfId="0" applyNumberFormat="1"/>
    <xf numFmtId="2" fontId="0" fillId="0" borderId="0" xfId="0" applyNumberFormat="1" applyAlignment="1">
      <alignment horizontal="left" vertical="center"/>
    </xf>
    <xf numFmtId="2" fontId="0" fillId="0" borderId="18" xfId="0" applyNumberFormat="1" applyBorder="1" applyAlignment="1" applyProtection="1">
      <alignment horizontal="center" vertical="center" wrapText="1"/>
      <protection locked="0"/>
    </xf>
    <xf numFmtId="0" fontId="0" fillId="0" borderId="6" xfId="0" applyBorder="1"/>
    <xf numFmtId="0" fontId="0" fillId="0" borderId="6" xfId="0" applyBorder="1" applyAlignment="1" applyProtection="1">
      <alignment horizontal="center" vertical="center" wrapText="1"/>
      <protection locked="0"/>
    </xf>
    <xf numFmtId="2" fontId="0" fillId="0" borderId="6" xfId="0" applyNumberFormat="1" applyBorder="1" applyAlignment="1" applyProtection="1">
      <alignment horizontal="center" vertical="center" wrapText="1"/>
      <protection locked="0"/>
    </xf>
    <xf numFmtId="2" fontId="1" fillId="0" borderId="6" xfId="1" applyNumberFormat="1" applyFill="1" applyBorder="1" applyAlignment="1" applyProtection="1">
      <alignment horizontal="left" vertical="center" wrapText="1"/>
      <protection locked="0"/>
    </xf>
    <xf numFmtId="0" fontId="1" fillId="0" borderId="0" xfId="1"/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1" fillId="2" borderId="0" xfId="1" applyFill="1" applyBorder="1" applyAlignment="1">
      <alignment horizontal="left"/>
    </xf>
    <xf numFmtId="0" fontId="1" fillId="2" borderId="9" xfId="1" applyFill="1" applyBorder="1" applyAlignment="1">
      <alignment horizontal="left"/>
    </xf>
    <xf numFmtId="0" fontId="1" fillId="2" borderId="15" xfId="1" applyFill="1" applyBorder="1" applyAlignment="1">
      <alignment horizontal="left"/>
    </xf>
    <xf numFmtId="0" fontId="1" fillId="2" borderId="16" xfId="1" applyFill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0" borderId="6" xfId="0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e.hsrw.org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de/" TargetMode="External"/><Relationship Id="rId1" Type="http://schemas.openxmlformats.org/officeDocument/2006/relationships/hyperlink" Target="https://www.reichelt.de/" TargetMode="External"/><Relationship Id="rId6" Type="http://schemas.openxmlformats.org/officeDocument/2006/relationships/hyperlink" Target="https://www.mouser.de/manufacturer/eagleplasticdevices/" TargetMode="External"/><Relationship Id="rId5" Type="http://schemas.openxmlformats.org/officeDocument/2006/relationships/hyperlink" Target="https://www.mouser.de/ProductDetail/Infineon-Technologies/IRLML6402TRPBF?qs=9%252BKlkBgLFf0HuZuONx2Ewg%3D%3D" TargetMode="External"/><Relationship Id="rId4" Type="http://schemas.openxmlformats.org/officeDocument/2006/relationships/hyperlink" Target="https://www.conrad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view="pageLayout" topLeftCell="A8" zoomScale="110" zoomScaleNormal="100" zoomScalePageLayoutView="110" workbookViewId="0">
      <selection activeCell="G10" sqref="G10"/>
    </sheetView>
  </sheetViews>
  <sheetFormatPr defaultColWidth="11.5703125" defaultRowHeight="15" x14ac:dyDescent="0.25"/>
  <cols>
    <col min="1" max="1" width="5" customWidth="1"/>
    <col min="2" max="2" width="4.85546875" customWidth="1"/>
    <col min="3" max="3" width="12.42578125" customWidth="1"/>
    <col min="4" max="4" width="14.42578125" customWidth="1"/>
    <col min="5" max="5" width="13.7109375" customWidth="1"/>
    <col min="6" max="6" width="7.7109375" customWidth="1"/>
    <col min="7" max="7" width="12.85546875" customWidth="1"/>
    <col min="8" max="8" width="8.7109375" customWidth="1"/>
    <col min="9" max="9" width="6.5703125" customWidth="1"/>
    <col min="10" max="10" width="55.28515625" customWidth="1"/>
    <col min="13" max="13" width="12.28515625" customWidth="1"/>
    <col min="20" max="20" width="9.42578125" customWidth="1"/>
    <col min="21" max="21" width="17.7109375" customWidth="1"/>
  </cols>
  <sheetData>
    <row r="1" spans="1:10" x14ac:dyDescent="0.25">
      <c r="A1" s="47" t="s">
        <v>18</v>
      </c>
      <c r="B1" s="48"/>
      <c r="C1" s="16" t="s">
        <v>34</v>
      </c>
      <c r="G1" s="5" t="s">
        <v>23</v>
      </c>
      <c r="H1" s="52" t="s">
        <v>36</v>
      </c>
      <c r="I1" s="52"/>
      <c r="J1" s="52"/>
    </row>
    <row r="2" spans="1:10" x14ac:dyDescent="0.25">
      <c r="A2" s="47" t="s">
        <v>21</v>
      </c>
      <c r="B2" s="48"/>
      <c r="C2" s="17">
        <v>45788</v>
      </c>
      <c r="G2" s="5" t="s">
        <v>20</v>
      </c>
      <c r="H2" s="53" t="s">
        <v>35</v>
      </c>
      <c r="I2" s="53"/>
      <c r="J2" s="53"/>
    </row>
    <row r="4" spans="1:10" ht="45" x14ac:dyDescent="0.25">
      <c r="A4" s="4" t="s">
        <v>4</v>
      </c>
      <c r="B4" s="4" t="s">
        <v>25</v>
      </c>
      <c r="C4" s="4" t="s">
        <v>6</v>
      </c>
      <c r="D4" s="4" t="s">
        <v>5</v>
      </c>
      <c r="E4" s="4" t="s">
        <v>7</v>
      </c>
      <c r="F4" s="4" t="s">
        <v>11</v>
      </c>
      <c r="G4" s="4" t="s">
        <v>8</v>
      </c>
      <c r="H4" s="4" t="s">
        <v>9</v>
      </c>
      <c r="I4" s="4" t="s">
        <v>10</v>
      </c>
      <c r="J4" s="4" t="s">
        <v>0</v>
      </c>
    </row>
    <row r="5" spans="1:10" ht="45" x14ac:dyDescent="0.25">
      <c r="A5" s="6">
        <v>1</v>
      </c>
      <c r="B5" s="18">
        <v>1</v>
      </c>
      <c r="C5" s="38" t="s">
        <v>74</v>
      </c>
      <c r="D5" s="18" t="s">
        <v>73</v>
      </c>
      <c r="E5" s="21" t="s">
        <v>72</v>
      </c>
      <c r="F5" s="18" t="s">
        <v>30</v>
      </c>
      <c r="G5" s="29" t="s">
        <v>72</v>
      </c>
      <c r="H5" s="23">
        <v>1.54</v>
      </c>
      <c r="I5" s="24">
        <f t="shared" ref="I5:I11" si="0">B5*H5</f>
        <v>1.54</v>
      </c>
      <c r="J5" s="22" t="s">
        <v>71</v>
      </c>
    </row>
    <row r="6" spans="1:10" ht="45" x14ac:dyDescent="0.25">
      <c r="A6" s="6">
        <v>2</v>
      </c>
      <c r="B6" s="18">
        <v>1</v>
      </c>
      <c r="C6" s="18" t="s">
        <v>40</v>
      </c>
      <c r="D6" s="18" t="s">
        <v>54</v>
      </c>
      <c r="E6" s="18" t="s">
        <v>38</v>
      </c>
      <c r="F6" s="18" t="s">
        <v>30</v>
      </c>
      <c r="G6" s="18" t="s">
        <v>39</v>
      </c>
      <c r="H6" s="23">
        <v>1.48</v>
      </c>
      <c r="I6" s="24">
        <f t="shared" si="0"/>
        <v>1.48</v>
      </c>
      <c r="J6" s="22" t="s">
        <v>37</v>
      </c>
    </row>
    <row r="7" spans="1:10" ht="14.45" customHeight="1" x14ac:dyDescent="0.25">
      <c r="A7" s="6">
        <v>3</v>
      </c>
      <c r="B7" s="19">
        <v>1</v>
      </c>
      <c r="C7" s="19" t="s">
        <v>70</v>
      </c>
      <c r="D7" s="19" t="s">
        <v>69</v>
      </c>
      <c r="E7" s="19" t="s">
        <v>69</v>
      </c>
      <c r="F7" s="19" t="s">
        <v>30</v>
      </c>
      <c r="G7" s="19" t="s">
        <v>68</v>
      </c>
      <c r="H7" s="25">
        <v>0.66200000000000003</v>
      </c>
      <c r="I7" s="24">
        <f t="shared" si="0"/>
        <v>0.66200000000000003</v>
      </c>
      <c r="J7" s="26" t="s">
        <v>67</v>
      </c>
    </row>
    <row r="8" spans="1:10" ht="45" x14ac:dyDescent="0.25">
      <c r="A8" s="6">
        <v>4</v>
      </c>
      <c r="B8" s="19">
        <v>1</v>
      </c>
      <c r="C8" s="19" t="s">
        <v>42</v>
      </c>
      <c r="D8" s="19" t="s">
        <v>55</v>
      </c>
      <c r="E8" s="19" t="s">
        <v>43</v>
      </c>
      <c r="F8" s="19" t="s">
        <v>30</v>
      </c>
      <c r="G8" s="19" t="s">
        <v>44</v>
      </c>
      <c r="H8" s="25">
        <v>0.35299999999999998</v>
      </c>
      <c r="I8" s="24">
        <f t="shared" si="0"/>
        <v>0.35299999999999998</v>
      </c>
      <c r="J8" s="26" t="s">
        <v>41</v>
      </c>
    </row>
    <row r="9" spans="1:10" ht="60" x14ac:dyDescent="0.25">
      <c r="A9" s="6">
        <v>5</v>
      </c>
      <c r="B9" s="19">
        <v>4</v>
      </c>
      <c r="C9" s="19" t="s">
        <v>49</v>
      </c>
      <c r="D9" s="19" t="s">
        <v>47</v>
      </c>
      <c r="E9" s="19" t="s">
        <v>46</v>
      </c>
      <c r="F9" s="19" t="s">
        <v>31</v>
      </c>
      <c r="G9" s="19" t="s">
        <v>48</v>
      </c>
      <c r="H9" s="25">
        <v>0.15</v>
      </c>
      <c r="I9" s="24">
        <f t="shared" si="0"/>
        <v>0.6</v>
      </c>
      <c r="J9" s="26" t="s">
        <v>45</v>
      </c>
    </row>
    <row r="10" spans="1:10" ht="30" x14ac:dyDescent="0.25">
      <c r="A10" s="6">
        <v>6</v>
      </c>
      <c r="B10" s="19">
        <v>1</v>
      </c>
      <c r="C10" s="19" t="s">
        <v>53</v>
      </c>
      <c r="D10" s="19" t="s">
        <v>56</v>
      </c>
      <c r="E10" s="19" t="s">
        <v>51</v>
      </c>
      <c r="F10" s="19" t="s">
        <v>30</v>
      </c>
      <c r="G10" s="19" t="s">
        <v>52</v>
      </c>
      <c r="H10" s="25">
        <v>5.16</v>
      </c>
      <c r="I10" s="24">
        <f t="shared" si="0"/>
        <v>5.16</v>
      </c>
      <c r="J10" s="26" t="s">
        <v>50</v>
      </c>
    </row>
    <row r="11" spans="1:10" ht="45" x14ac:dyDescent="0.25">
      <c r="A11" s="6">
        <v>7</v>
      </c>
      <c r="B11" s="20">
        <v>5</v>
      </c>
      <c r="C11" s="20" t="s">
        <v>58</v>
      </c>
      <c r="D11" s="20" t="s">
        <v>61</v>
      </c>
      <c r="E11" s="20" t="s">
        <v>59</v>
      </c>
      <c r="F11" s="20" t="s">
        <v>30</v>
      </c>
      <c r="G11" s="20" t="s">
        <v>60</v>
      </c>
      <c r="H11" s="27">
        <v>0.13</v>
      </c>
      <c r="I11" s="24">
        <f t="shared" si="0"/>
        <v>0.65</v>
      </c>
      <c r="J11" s="28" t="s">
        <v>57</v>
      </c>
    </row>
    <row r="12" spans="1:10" ht="45" x14ac:dyDescent="0.25">
      <c r="A12" s="6">
        <v>8</v>
      </c>
      <c r="B12" s="30">
        <v>1</v>
      </c>
      <c r="C12" s="30" t="s">
        <v>78</v>
      </c>
      <c r="D12" s="19" t="s">
        <v>77</v>
      </c>
      <c r="E12" s="19" t="s">
        <v>76</v>
      </c>
      <c r="F12" s="19" t="s">
        <v>30</v>
      </c>
      <c r="G12" s="19" t="s">
        <v>75</v>
      </c>
      <c r="H12" s="25">
        <v>8.5999999999999993E-2</v>
      </c>
      <c r="I12" s="24">
        <f t="shared" ref="I12:I13" si="1">B12*H12</f>
        <v>8.5999999999999993E-2</v>
      </c>
      <c r="J12" s="26" t="s">
        <v>79</v>
      </c>
    </row>
    <row r="13" spans="1:10" ht="45" x14ac:dyDescent="0.25">
      <c r="A13" s="6">
        <v>9</v>
      </c>
      <c r="B13" s="19">
        <v>1</v>
      </c>
      <c r="C13" s="30" t="s">
        <v>63</v>
      </c>
      <c r="D13" s="30" t="s">
        <v>62</v>
      </c>
      <c r="E13" s="19" t="s">
        <v>64</v>
      </c>
      <c r="F13" s="19" t="s">
        <v>30</v>
      </c>
      <c r="G13" s="19" t="s">
        <v>65</v>
      </c>
      <c r="H13" s="25">
        <v>1.26</v>
      </c>
      <c r="I13" s="33">
        <f t="shared" si="1"/>
        <v>1.26</v>
      </c>
      <c r="J13" s="26" t="s">
        <v>66</v>
      </c>
    </row>
    <row r="14" spans="1:10" x14ac:dyDescent="0.25">
      <c r="A14" s="6">
        <v>10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x14ac:dyDescent="0.25">
      <c r="A15" s="6">
        <v>11</v>
      </c>
      <c r="B15" s="34"/>
      <c r="C15" s="34"/>
      <c r="D15" s="34"/>
      <c r="E15" s="34"/>
      <c r="F15" s="34"/>
      <c r="G15" s="34"/>
      <c r="H15" s="34"/>
      <c r="I15" s="34"/>
      <c r="J15" s="34"/>
    </row>
    <row r="16" spans="1:10" x14ac:dyDescent="0.25">
      <c r="A16" s="6">
        <v>12</v>
      </c>
      <c r="B16" s="34"/>
      <c r="C16" s="34"/>
      <c r="D16" s="34"/>
      <c r="E16" s="34"/>
      <c r="F16" s="34"/>
      <c r="G16" s="34"/>
      <c r="H16" s="34"/>
      <c r="I16" s="34"/>
      <c r="J16" s="34"/>
    </row>
    <row r="17" spans="1:10" x14ac:dyDescent="0.25">
      <c r="A17" s="6">
        <v>13</v>
      </c>
      <c r="B17" s="34"/>
      <c r="C17" s="34"/>
      <c r="D17" s="34"/>
      <c r="E17" s="34"/>
      <c r="F17" s="34"/>
      <c r="G17" s="34"/>
      <c r="H17" s="34"/>
      <c r="I17" s="34"/>
      <c r="J17" s="34"/>
    </row>
    <row r="18" spans="1:10" ht="14.45" customHeight="1" x14ac:dyDescent="0.25">
      <c r="A18" s="6">
        <v>14</v>
      </c>
      <c r="B18" s="34"/>
      <c r="C18" s="34"/>
      <c r="D18" s="34"/>
      <c r="E18" s="34"/>
      <c r="F18" s="34"/>
      <c r="G18" s="34"/>
      <c r="H18" s="34"/>
      <c r="I18" s="34"/>
      <c r="J18" s="34"/>
    </row>
    <row r="19" spans="1:10" x14ac:dyDescent="0.25">
      <c r="A19" s="6">
        <v>15</v>
      </c>
      <c r="B19" s="34"/>
      <c r="C19" s="34"/>
      <c r="D19" s="34"/>
      <c r="E19" s="34"/>
      <c r="F19" s="34"/>
      <c r="G19" s="34"/>
      <c r="H19" s="34"/>
      <c r="I19" s="34"/>
      <c r="J19" s="34"/>
    </row>
    <row r="20" spans="1:10" x14ac:dyDescent="0.25">
      <c r="A20" s="6">
        <v>16</v>
      </c>
      <c r="B20" s="34"/>
      <c r="C20" s="34"/>
      <c r="D20" s="34"/>
      <c r="E20" s="34"/>
      <c r="F20" s="34"/>
      <c r="G20" s="34"/>
      <c r="H20" s="34"/>
      <c r="I20" s="34"/>
      <c r="J20" s="34"/>
    </row>
    <row r="21" spans="1:10" x14ac:dyDescent="0.25">
      <c r="A21" s="6">
        <v>17</v>
      </c>
      <c r="B21" s="34"/>
      <c r="C21" s="34"/>
      <c r="D21" s="34"/>
      <c r="E21" s="34"/>
      <c r="F21" s="34"/>
      <c r="G21" s="34"/>
      <c r="H21" s="34"/>
      <c r="I21" s="34"/>
      <c r="J21" s="34"/>
    </row>
    <row r="22" spans="1:10" x14ac:dyDescent="0.25">
      <c r="A22" s="6">
        <v>18</v>
      </c>
      <c r="B22" s="34"/>
      <c r="C22" s="34"/>
      <c r="D22" s="34"/>
      <c r="E22" s="34"/>
      <c r="F22" s="34"/>
      <c r="G22" s="34"/>
      <c r="H22" s="34"/>
      <c r="I22" s="34"/>
      <c r="J22" s="34"/>
    </row>
    <row r="23" spans="1:10" x14ac:dyDescent="0.25">
      <c r="A23" s="6">
        <v>19</v>
      </c>
      <c r="B23" s="35"/>
      <c r="C23" s="35"/>
      <c r="D23" s="35"/>
      <c r="E23" s="35"/>
      <c r="F23" s="35"/>
      <c r="G23" s="35"/>
      <c r="H23" s="36"/>
      <c r="I23" s="36"/>
      <c r="J23" s="37"/>
    </row>
    <row r="25" spans="1:10" x14ac:dyDescent="0.25">
      <c r="G25" s="54" t="s">
        <v>1</v>
      </c>
      <c r="H25" s="54"/>
      <c r="I25" s="9">
        <f>SUM(I5:I23)</f>
        <v>11.791</v>
      </c>
      <c r="J25" s="32"/>
    </row>
    <row r="26" spans="1:10" x14ac:dyDescent="0.25">
      <c r="A26" s="10" t="s">
        <v>24</v>
      </c>
      <c r="B26" s="11"/>
      <c r="C26" s="11"/>
      <c r="D26" s="11"/>
      <c r="E26" s="12"/>
      <c r="G26" s="55" t="s">
        <v>3</v>
      </c>
      <c r="H26" s="55"/>
      <c r="I26" s="7">
        <f>I25*0.19</f>
        <v>2.2402899999999999</v>
      </c>
      <c r="J26" s="32"/>
    </row>
    <row r="27" spans="1:10" x14ac:dyDescent="0.25">
      <c r="A27" s="49" t="s">
        <v>16</v>
      </c>
      <c r="B27" s="50"/>
      <c r="C27" s="13" t="s">
        <v>15</v>
      </c>
      <c r="D27" s="50" t="s">
        <v>17</v>
      </c>
      <c r="E27" s="51"/>
      <c r="G27" s="55" t="s">
        <v>2</v>
      </c>
      <c r="H27" s="55"/>
      <c r="I27" s="8">
        <f>I25*1.19</f>
        <v>14.03129</v>
      </c>
      <c r="J27" s="32"/>
    </row>
    <row r="28" spans="1:10" x14ac:dyDescent="0.25">
      <c r="A28" s="39" t="s">
        <v>29</v>
      </c>
      <c r="B28" s="40"/>
      <c r="C28" s="14" t="s">
        <v>27</v>
      </c>
      <c r="D28" s="43" t="s">
        <v>22</v>
      </c>
      <c r="E28" s="44"/>
      <c r="I28" s="31"/>
    </row>
    <row r="29" spans="1:10" x14ac:dyDescent="0.25">
      <c r="A29" s="39" t="s">
        <v>30</v>
      </c>
      <c r="B29" s="40"/>
      <c r="C29" s="14" t="s">
        <v>26</v>
      </c>
      <c r="D29" s="43" t="s">
        <v>19</v>
      </c>
      <c r="E29" s="44"/>
    </row>
    <row r="30" spans="1:10" x14ac:dyDescent="0.25">
      <c r="A30" s="39" t="s">
        <v>31</v>
      </c>
      <c r="B30" s="40"/>
      <c r="C30" s="14" t="s">
        <v>26</v>
      </c>
      <c r="D30" s="43" t="s">
        <v>13</v>
      </c>
      <c r="E30" s="44"/>
      <c r="H30" t="s">
        <v>12</v>
      </c>
    </row>
    <row r="31" spans="1:10" x14ac:dyDescent="0.25">
      <c r="A31" s="41" t="s">
        <v>32</v>
      </c>
      <c r="B31" s="42"/>
      <c r="C31" s="15" t="s">
        <v>26</v>
      </c>
      <c r="D31" s="45" t="s">
        <v>14</v>
      </c>
      <c r="E31" s="46"/>
    </row>
    <row r="32" spans="1:10" x14ac:dyDescent="0.25">
      <c r="A32" s="41" t="s">
        <v>28</v>
      </c>
      <c r="B32" s="42"/>
      <c r="C32" s="15"/>
      <c r="D32" s="45" t="s">
        <v>33</v>
      </c>
      <c r="E32" s="46"/>
    </row>
    <row r="47" spans="1:10" x14ac:dyDescent="0.25">
      <c r="A47" s="2"/>
      <c r="B47" s="2"/>
      <c r="C47" s="1"/>
      <c r="D47" s="2"/>
      <c r="E47" s="1"/>
      <c r="F47" s="2"/>
      <c r="G47" s="2"/>
      <c r="H47" s="2"/>
      <c r="I47" s="2"/>
      <c r="J47" s="2"/>
    </row>
    <row r="48" spans="1:10" x14ac:dyDescent="0.25">
      <c r="A48" s="1"/>
      <c r="B48" s="1"/>
      <c r="C48" s="2"/>
      <c r="D48" s="1"/>
      <c r="E48" s="2"/>
      <c r="F48" s="2"/>
      <c r="G48" s="1"/>
      <c r="H48" s="1"/>
      <c r="I48" s="1"/>
      <c r="J48" s="3"/>
    </row>
    <row r="49" spans="1:10" x14ac:dyDescent="0.25">
      <c r="A49" s="1"/>
      <c r="B49" s="1"/>
      <c r="C49" s="2"/>
      <c r="D49" s="1"/>
      <c r="E49" s="1"/>
      <c r="F49" s="2"/>
      <c r="G49" s="1"/>
      <c r="H49" s="1"/>
      <c r="I49" s="1"/>
      <c r="J49" s="3"/>
    </row>
    <row r="50" spans="1:10" x14ac:dyDescent="0.25">
      <c r="A50" s="1"/>
      <c r="B50" s="1"/>
      <c r="C50" s="2"/>
      <c r="D50" s="2"/>
      <c r="E50" s="1"/>
      <c r="F50" s="2"/>
      <c r="G50" s="1"/>
      <c r="H50" s="1"/>
      <c r="I50" s="1"/>
      <c r="J50" s="3"/>
    </row>
    <row r="51" spans="1:10" x14ac:dyDescent="0.25">
      <c r="A51" s="1"/>
      <c r="B51" s="1"/>
      <c r="C51" s="2"/>
      <c r="D51" s="1"/>
      <c r="E51" s="1"/>
      <c r="F51" s="2"/>
      <c r="G51" s="1"/>
      <c r="H51" s="1"/>
      <c r="I51" s="1"/>
      <c r="J51" s="3"/>
    </row>
    <row r="52" spans="1:10" x14ac:dyDescent="0.25">
      <c r="A52" s="1"/>
      <c r="B52" s="1"/>
      <c r="C52" s="1"/>
      <c r="D52" s="1"/>
      <c r="E52" s="1"/>
      <c r="F52" s="2"/>
      <c r="G52" s="1"/>
      <c r="H52" s="1"/>
      <c r="I52" s="1"/>
      <c r="J52" s="3"/>
    </row>
    <row r="53" spans="1:10" x14ac:dyDescent="0.25">
      <c r="A53" s="1"/>
      <c r="B53" s="1"/>
      <c r="C53" s="2"/>
      <c r="D53" s="1"/>
      <c r="E53" s="1"/>
      <c r="F53" s="2"/>
      <c r="G53" s="1"/>
      <c r="H53" s="1"/>
      <c r="I53" s="1"/>
      <c r="J53" s="3"/>
    </row>
    <row r="54" spans="1:10" x14ac:dyDescent="0.25">
      <c r="A54" s="1"/>
      <c r="B54" s="1"/>
      <c r="C54" s="2"/>
      <c r="D54" s="1"/>
      <c r="E54" s="1"/>
      <c r="F54" s="2"/>
      <c r="G54" s="1"/>
      <c r="H54" s="1"/>
      <c r="I54" s="1"/>
      <c r="J54" s="3"/>
    </row>
  </sheetData>
  <mergeCells count="19">
    <mergeCell ref="H1:J1"/>
    <mergeCell ref="H2:J2"/>
    <mergeCell ref="G25:H25"/>
    <mergeCell ref="G26:H26"/>
    <mergeCell ref="G27:H27"/>
    <mergeCell ref="A1:B1"/>
    <mergeCell ref="A2:B2"/>
    <mergeCell ref="A27:B27"/>
    <mergeCell ref="A28:B28"/>
    <mergeCell ref="D27:E27"/>
    <mergeCell ref="A29:B29"/>
    <mergeCell ref="A30:B30"/>
    <mergeCell ref="A32:B32"/>
    <mergeCell ref="D28:E28"/>
    <mergeCell ref="D29:E29"/>
    <mergeCell ref="D30:E30"/>
    <mergeCell ref="D32:E32"/>
    <mergeCell ref="A31:B31"/>
    <mergeCell ref="D31:E31"/>
  </mergeCells>
  <phoneticPr fontId="4" type="noConversion"/>
  <dataValidations count="1">
    <dataValidation type="list" allowBlank="1" showInputMessage="1" showErrorMessage="1" sqref="F23 F16:F20 F5:F13" xr:uid="{00000000-0002-0000-0000-000000000000}">
      <formula1>$A$28:$A$32</formula1>
    </dataValidation>
  </dataValidations>
  <hyperlinks>
    <hyperlink ref="D30" r:id="rId1" xr:uid="{00000000-0004-0000-0000-000000000000}"/>
    <hyperlink ref="D29" r:id="rId2" xr:uid="{00000000-0004-0000-0000-000001000000}"/>
    <hyperlink ref="D28" r:id="rId3" xr:uid="{00000000-0004-0000-0000-000002000000}"/>
    <hyperlink ref="D31" r:id="rId4" xr:uid="{00000000-0004-0000-0000-000004000000}"/>
    <hyperlink ref="J8" r:id="rId5" xr:uid="{85611FA3-DA6B-4401-BC4A-CB8B8F5F9061}"/>
    <hyperlink ref="C5" r:id="rId6" display="https://www.mouser.de/manufacturer/eagleplasticdevices/" xr:uid="{40DBAECB-FF27-46BD-9F79-41CFB06A3CDC}"/>
  </hyperlinks>
  <pageMargins left="0.25" right="0.25" top="0.75" bottom="0.75" header="0.3" footer="0.3"/>
  <pageSetup paperSize="9" orientation="landscape" r:id="rId7"/>
  <headerFooter>
    <oddHeader>&amp;CParts list
Practical Electronics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>Hochschule Rhein-Waal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Muhs, Friedrich</dc:creator>
  <cp:lastModifiedBy>Abhinav Kothari</cp:lastModifiedBy>
  <cp:lastPrinted>2017-02-08T11:39:48Z</cp:lastPrinted>
  <dcterms:created xsi:type="dcterms:W3CDTF">2017-02-06T13:00:47Z</dcterms:created>
  <dcterms:modified xsi:type="dcterms:W3CDTF">2025-11-06T22:13:51Z</dcterms:modified>
</cp:coreProperties>
</file>