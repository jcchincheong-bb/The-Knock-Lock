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Practical Electronics/pe04/schematic-design/"/>
    </mc:Choice>
  </mc:AlternateContent>
  <xr:revisionPtr revIDLastSave="3" documentId="13_ncr:1_{070D2B56-7EFD-41E9-9606-CB84ABF9E623}" xr6:coauthVersionLast="47" xr6:coauthVersionMax="47" xr10:uidLastSave="{B34F81B8-0012-439C-948F-9DC267F397C4}"/>
  <workbookProtection lockStructure="1"/>
  <bookViews>
    <workbookView xWindow="-108" yWindow="-108" windowWidth="23256" windowHeight="1245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5" l="1"/>
  <c r="I12" i="5" l="1"/>
  <c r="I5" i="5"/>
  <c r="I6" i="5" l="1"/>
  <c r="I7" i="5"/>
  <c r="I8" i="5"/>
  <c r="I9" i="5"/>
  <c r="I10" i="5"/>
  <c r="I24" i="5" l="1"/>
  <c r="I26" i="5" l="1"/>
  <c r="I25" i="5"/>
</calcChain>
</file>

<file path=xl/sharedStrings.xml><?xml version="1.0" encoding="utf-8"?>
<sst xmlns="http://schemas.openxmlformats.org/spreadsheetml/2006/main" count="88" uniqueCount="76">
  <si>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</si>
  <si>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</si>
  <si>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</si>
  <si>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</si>
  <si>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</si>
  <si>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</si>
  <si>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</si>
  <si>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</si>
  <si>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</si>
  <si>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</si>
  <si>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</si>
  <si>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</si>
  <si>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</si>
  <si>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</si>
  <si>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</si>
  <si>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</si>
  <si>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</si>
  <si>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</si>
  <si>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</si>
  <si>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</si>
  <si>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</si>
  <si>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</si>
  <si>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</si>
  <si>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</si>
  <si>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</si>
  <si>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</si>
  <si>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</si>
  <si>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</si>
  <si>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</si>
  <si>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</si>
  <si>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</si>
  <si>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</si>
  <si>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</si>
  <si>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</si>
  <si>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</si>
  <si>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Justin Chin Cheong, Abhinav Kothari</t>
  </si>
  <si>
    <t>Knock Lock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</si>
  <si>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</si>
  <si>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</si>
  <si>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</si>
  <si>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</si>
  <si>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</si>
  <si>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</si>
  <si>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</si>
  <si>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</si>
  <si>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</si>
  <si>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</si>
  <si>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</si>
  <si>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</si>
  <si>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</si>
  <si>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</si>
  <si>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</si>
  <si>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</si>
  <si>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</si>
  <si>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LM2575-3.3WT Voltage Regulator</t>
  </si>
  <si>
    <t>IRLML6402TRPBF MOSFET</t>
  </si>
  <si>
    <t>SER0050 Servo Motor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</si>
  <si>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</si>
  <si>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</si>
  <si>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</si>
  <si>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</si>
  <si>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</si>
  <si>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https://www.mouser.de/ProductDetail/GCT/USB3145-30-1-A?qs=KUoIvG%2F9IlYD1lvSRu5iyg%3D%3D</t>
  </si>
  <si>
    <t>640-USB3145-30-1-A</t>
  </si>
  <si>
    <t>USB3145-30-1-A</t>
  </si>
  <si>
    <t>GCT</t>
  </si>
  <si>
    <t>https://www.mouser.de/ProductDetail/Eagle-Plastic-Devices/12BH342A-GR?qs=GYzcNiWpw3fGsZG%2F3838jw%3D%3D</t>
  </si>
  <si>
    <t>12BH342A-GR</t>
  </si>
  <si>
    <t>12BH342A-GR Battery Holder</t>
  </si>
  <si>
    <t>Eagle Plastic Devices</t>
  </si>
  <si>
    <t>179-TS026660BK260LCR</t>
  </si>
  <si>
    <t>TS02-66-60-BK-260-LCR-D</t>
  </si>
  <si>
    <t>Push Button TS02-66-60-BK-260-LCR-D</t>
  </si>
  <si>
    <t>Same Sky</t>
  </si>
  <si>
    <t>https://www.mouser.de/ProductDetail/Same-Sky/TS02-66-60-BK-260-LCR-D?qs=A6eO%252BMLsxmQnLv1ZYEDDrQ%3D%3D</t>
  </si>
  <si>
    <t>19/11/2025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</si>
</sst>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/>
    <xf numFmtId="0" fontId="0" fillId="2" borderId="4" xfId="0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right" vertical="center"/>
    </xf>
    <xf numFmtId="2" fontId="0" fillId="2" borderId="5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1" xfId="0" applyFill="1" applyBorder="1"/>
    <xf numFmtId="0" fontId="0" fillId="2" borderId="2" xfId="0" applyFill="1" applyBorder="1"/>
    <xf numFmtId="0" fontId="0" fillId="2" borderId="12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4" xfId="0" applyFill="1" applyBorder="1" applyAlignment="1">
      <alignment horizontal="center"/>
    </xf>
    <xf numFmtId="49" fontId="0" fillId="0" borderId="5" xfId="0" applyNumberFormat="1" applyBorder="1" applyAlignment="1" applyProtection="1">
      <alignment horizontal="right"/>
      <protection locked="0"/>
    </xf>
    <xf numFmtId="14" fontId="0" fillId="0" borderId="5" xfId="0" applyNumberFormat="1" applyBorder="1" applyProtection="1"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6" xfId="0" applyNumberFormat="1" applyBorder="1" applyAlignment="1" applyProtection="1">
      <alignment horizontal="center" vertical="center" wrapText="1"/>
      <protection locked="0"/>
    </xf>
    <xf numFmtId="2" fontId="1" fillId="0" borderId="6" xfId="1" applyNumberFormat="1" applyFill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 wrapText="1"/>
    </xf>
    <xf numFmtId="0" fontId="0" fillId="0" borderId="16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2" fontId="0" fillId="0" borderId="17" xfId="0" applyNumberFormat="1" applyBorder="1" applyAlignment="1" applyProtection="1">
      <alignment horizontal="center" vertical="center" wrapText="1"/>
      <protection locked="0"/>
    </xf>
    <xf numFmtId="0" fontId="0" fillId="0" borderId="5" xfId="0" applyBorder="1"/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/>
    <xf numFmtId="0" fontId="0" fillId="2" borderId="7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8" xfId="1" applyFill="1" applyBorder="1" applyAlignment="1">
      <alignment horizontal="left"/>
    </xf>
    <xf numFmtId="0" fontId="1" fillId="2" borderId="14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8" xfId="0" applyFont="1" applyFill="1" applyBorder="1" applyAlignment="1">
      <alignment horizontal="left"/>
    </xf>
    <xf numFmtId="0" fontId="0" fillId="0" borderId="5" xfId="0" applyBorder="1" applyAlignment="1" applyProtection="1">
      <alignment horizontal="center"/>
      <protection locked="0"/>
    </xf>
    <xf numFmtId="14" fontId="0" fillId="0" borderId="5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manufacturer/eagleplasticdevices/" TargetMode="External"/><Relationship Id="rId5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view="pageLayout" zoomScale="110" zoomScaleNormal="100" zoomScalePageLayoutView="110" workbookViewId="0">
      <selection activeCell="D2" sqref="D2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4" t="s">
        <v>18</v>
      </c>
      <c r="B1" s="45"/>
      <c r="C1" s="16" t="s">
        <v>34</v>
      </c>
      <c r="G1" s="5" t="s">
        <v>23</v>
      </c>
      <c r="H1" s="49" t="s">
        <v>36</v>
      </c>
      <c r="I1" s="49"/>
      <c r="J1" s="49"/>
    </row>
    <row r="2" spans="1:10" x14ac:dyDescent="0.3">
      <c r="A2" s="44" t="s">
        <v>21</v>
      </c>
      <c r="B2" s="45"/>
      <c r="C2" s="17" t="s">
        <v>75</v>
      </c>
      <c r="G2" s="5" t="s">
        <v>20</v>
      </c>
      <c r="H2" s="50" t="s">
        <v>35</v>
      </c>
      <c r="I2" s="50"/>
      <c r="J2" s="50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3.2" x14ac:dyDescent="0.3">
      <c r="A5" s="6">
        <v>1</v>
      </c>
      <c r="B5" s="18">
        <v>1</v>
      </c>
      <c r="C5" s="35" t="s">
        <v>69</v>
      </c>
      <c r="D5" s="18" t="s">
        <v>68</v>
      </c>
      <c r="E5" s="20" t="s">
        <v>67</v>
      </c>
      <c r="F5" s="18" t="s">
        <v>30</v>
      </c>
      <c r="G5" s="26" t="s">
        <v>67</v>
      </c>
      <c r="H5" s="22">
        <v>1.54</v>
      </c>
      <c r="I5" s="23">
        <f t="shared" ref="I5:I10" si="0">B5*H5</f>
        <v>1.54</v>
      </c>
      <c r="J5" s="21" t="s">
        <v>66</v>
      </c>
    </row>
    <row r="6" spans="1:10" ht="43.2" x14ac:dyDescent="0.3">
      <c r="A6" s="6">
        <v>2</v>
      </c>
      <c r="B6" s="18">
        <v>1</v>
      </c>
      <c r="C6" s="18" t="s">
        <v>40</v>
      </c>
      <c r="D6" s="18" t="s">
        <v>54</v>
      </c>
      <c r="E6" s="18" t="s">
        <v>38</v>
      </c>
      <c r="F6" s="18" t="s">
        <v>30</v>
      </c>
      <c r="G6" s="18" t="s">
        <v>39</v>
      </c>
      <c r="H6" s="22">
        <v>1.48</v>
      </c>
      <c r="I6" s="23">
        <f t="shared" si="0"/>
        <v>1.48</v>
      </c>
      <c r="J6" s="21" t="s">
        <v>37</v>
      </c>
    </row>
    <row r="7" spans="1:10" ht="14.4" customHeight="1" x14ac:dyDescent="0.3">
      <c r="A7" s="6">
        <v>3</v>
      </c>
      <c r="B7" s="19">
        <v>1</v>
      </c>
      <c r="C7" s="19" t="s">
        <v>65</v>
      </c>
      <c r="D7" s="19" t="s">
        <v>64</v>
      </c>
      <c r="E7" s="19" t="s">
        <v>64</v>
      </c>
      <c r="F7" s="19" t="s">
        <v>30</v>
      </c>
      <c r="G7" s="19" t="s">
        <v>63</v>
      </c>
      <c r="H7" s="24">
        <v>0.66200000000000003</v>
      </c>
      <c r="I7" s="23">
        <f t="shared" si="0"/>
        <v>0.66200000000000003</v>
      </c>
      <c r="J7" s="25" t="s">
        <v>62</v>
      </c>
    </row>
    <row r="8" spans="1:10" ht="43.2" x14ac:dyDescent="0.3">
      <c r="A8" s="6">
        <v>4</v>
      </c>
      <c r="B8" s="19">
        <v>1</v>
      </c>
      <c r="C8" s="19" t="s">
        <v>42</v>
      </c>
      <c r="D8" s="19" t="s">
        <v>55</v>
      </c>
      <c r="E8" s="19" t="s">
        <v>43</v>
      </c>
      <c r="F8" s="19" t="s">
        <v>30</v>
      </c>
      <c r="G8" s="19" t="s">
        <v>44</v>
      </c>
      <c r="H8" s="24">
        <v>0.35299999999999998</v>
      </c>
      <c r="I8" s="23">
        <f t="shared" si="0"/>
        <v>0.35299999999999998</v>
      </c>
      <c r="J8" s="25" t="s">
        <v>41</v>
      </c>
    </row>
    <row r="9" spans="1:10" ht="43.2" x14ac:dyDescent="0.3">
      <c r="A9" s="6">
        <v>5</v>
      </c>
      <c r="B9" s="19">
        <v>2</v>
      </c>
      <c r="C9" s="19" t="s">
        <v>49</v>
      </c>
      <c r="D9" s="19" t="s">
        <v>47</v>
      </c>
      <c r="E9" s="19" t="s">
        <v>46</v>
      </c>
      <c r="F9" s="19" t="s">
        <v>31</v>
      </c>
      <c r="G9" s="19" t="s">
        <v>48</v>
      </c>
      <c r="H9" s="24">
        <v>0.15</v>
      </c>
      <c r="I9" s="23">
        <f t="shared" si="0"/>
        <v>0.3</v>
      </c>
      <c r="J9" s="25" t="s">
        <v>45</v>
      </c>
    </row>
    <row r="10" spans="1:10" ht="28.8" x14ac:dyDescent="0.3">
      <c r="A10" s="6">
        <v>6</v>
      </c>
      <c r="B10" s="19">
        <v>1</v>
      </c>
      <c r="C10" s="19" t="s">
        <v>53</v>
      </c>
      <c r="D10" s="19" t="s">
        <v>56</v>
      </c>
      <c r="E10" s="19" t="s">
        <v>51</v>
      </c>
      <c r="F10" s="19" t="s">
        <v>30</v>
      </c>
      <c r="G10" s="19" t="s">
        <v>52</v>
      </c>
      <c r="H10" s="24">
        <v>5.16</v>
      </c>
      <c r="I10" s="23">
        <f t="shared" si="0"/>
        <v>5.16</v>
      </c>
      <c r="J10" s="25" t="s">
        <v>50</v>
      </c>
    </row>
    <row r="11" spans="1:10" ht="43.2" x14ac:dyDescent="0.3">
      <c r="A11" s="6">
        <v>7</v>
      </c>
      <c r="B11" s="27">
        <v>2</v>
      </c>
      <c r="C11" s="27" t="s">
        <v>73</v>
      </c>
      <c r="D11" s="19" t="s">
        <v>72</v>
      </c>
      <c r="E11" s="19" t="s">
        <v>71</v>
      </c>
      <c r="F11" s="19" t="s">
        <v>30</v>
      </c>
      <c r="G11" s="19" t="s">
        <v>70</v>
      </c>
      <c r="H11" s="24">
        <v>8.5999999999999993E-2</v>
      </c>
      <c r="I11" s="23">
        <f t="shared" ref="I11:I12" si="1">B11*H11</f>
        <v>0.17199999999999999</v>
      </c>
      <c r="J11" s="25" t="s">
        <v>74</v>
      </c>
    </row>
    <row r="12" spans="1:10" ht="28.8" x14ac:dyDescent="0.3">
      <c r="A12" s="6">
        <v>8</v>
      </c>
      <c r="B12" s="19">
        <v>1</v>
      </c>
      <c r="C12" s="27" t="s">
        <v>58</v>
      </c>
      <c r="D12" s="27" t="s">
        <v>57</v>
      </c>
      <c r="E12" s="19" t="s">
        <v>59</v>
      </c>
      <c r="F12" s="19" t="s">
        <v>30</v>
      </c>
      <c r="G12" s="19" t="s">
        <v>60</v>
      </c>
      <c r="H12" s="24">
        <v>1.26</v>
      </c>
      <c r="I12" s="30">
        <f t="shared" si="1"/>
        <v>1.26</v>
      </c>
      <c r="J12" s="25" t="s">
        <v>61</v>
      </c>
    </row>
    <row r="13" spans="1:10" x14ac:dyDescent="0.3">
      <c r="A13" s="6">
        <v>9</v>
      </c>
      <c r="B13" s="31"/>
      <c r="C13" s="31"/>
      <c r="D13" s="31"/>
      <c r="E13" s="31"/>
      <c r="F13" s="31"/>
      <c r="G13" s="31"/>
      <c r="H13" s="31"/>
      <c r="I13" s="31"/>
      <c r="J13" s="31"/>
    </row>
    <row r="14" spans="1:10" x14ac:dyDescent="0.3">
      <c r="A14" s="6">
        <v>10</v>
      </c>
      <c r="B14" s="31"/>
      <c r="C14" s="31"/>
      <c r="D14" s="31"/>
      <c r="E14" s="31"/>
      <c r="F14" s="31"/>
      <c r="G14" s="31"/>
      <c r="H14" s="31"/>
      <c r="I14" s="31"/>
      <c r="J14" s="31"/>
    </row>
    <row r="15" spans="1:10" x14ac:dyDescent="0.3">
      <c r="A15" s="6">
        <v>11</v>
      </c>
      <c r="B15" s="31"/>
      <c r="C15" s="31"/>
      <c r="D15" s="31"/>
      <c r="E15" s="31"/>
      <c r="F15" s="31"/>
      <c r="G15" s="31"/>
      <c r="H15" s="31"/>
      <c r="I15" s="31"/>
      <c r="J15" s="31"/>
    </row>
    <row r="16" spans="1:10" x14ac:dyDescent="0.3">
      <c r="A16" s="6">
        <v>12</v>
      </c>
      <c r="B16" s="31"/>
      <c r="C16" s="31"/>
      <c r="D16" s="31"/>
      <c r="E16" s="31"/>
      <c r="F16" s="31"/>
      <c r="G16" s="31"/>
      <c r="H16" s="31"/>
      <c r="I16" s="31"/>
      <c r="J16" s="31"/>
    </row>
    <row r="17" spans="1:10" ht="14.4" customHeight="1" x14ac:dyDescent="0.3">
      <c r="A17" s="6">
        <v>13</v>
      </c>
      <c r="B17" s="31"/>
      <c r="C17" s="31"/>
      <c r="D17" s="31"/>
      <c r="E17" s="31"/>
      <c r="F17" s="31"/>
      <c r="G17" s="31"/>
      <c r="H17" s="31"/>
      <c r="I17" s="31"/>
      <c r="J17" s="31"/>
    </row>
    <row r="18" spans="1:10" x14ac:dyDescent="0.3">
      <c r="A18" s="6">
        <v>14</v>
      </c>
      <c r="B18" s="31"/>
      <c r="C18" s="31"/>
      <c r="D18" s="31"/>
      <c r="E18" s="31"/>
      <c r="F18" s="31"/>
      <c r="G18" s="31"/>
      <c r="H18" s="31"/>
      <c r="I18" s="31"/>
      <c r="J18" s="31"/>
    </row>
    <row r="19" spans="1:10" x14ac:dyDescent="0.3">
      <c r="A19" s="6">
        <v>15</v>
      </c>
      <c r="B19" s="31"/>
      <c r="C19" s="31"/>
      <c r="D19" s="31"/>
      <c r="E19" s="31"/>
      <c r="F19" s="31"/>
      <c r="G19" s="31"/>
      <c r="H19" s="31"/>
      <c r="I19" s="31"/>
      <c r="J19" s="31"/>
    </row>
    <row r="20" spans="1:10" x14ac:dyDescent="0.3">
      <c r="A20" s="6">
        <v>16</v>
      </c>
      <c r="B20" s="31"/>
      <c r="C20" s="31"/>
      <c r="D20" s="31"/>
      <c r="E20" s="31"/>
      <c r="F20" s="31"/>
      <c r="G20" s="31"/>
      <c r="H20" s="31"/>
      <c r="I20" s="31"/>
      <c r="J20" s="31"/>
    </row>
    <row r="21" spans="1:10" x14ac:dyDescent="0.3">
      <c r="A21" s="6">
        <v>17</v>
      </c>
      <c r="B21" s="31"/>
      <c r="C21" s="31"/>
      <c r="D21" s="31"/>
      <c r="E21" s="31"/>
      <c r="F21" s="31"/>
      <c r="G21" s="31"/>
      <c r="H21" s="31"/>
      <c r="I21" s="31"/>
      <c r="J21" s="31"/>
    </row>
    <row r="22" spans="1:10" x14ac:dyDescent="0.3">
      <c r="A22" s="6">
        <v>18</v>
      </c>
      <c r="B22" s="32"/>
      <c r="C22" s="32"/>
      <c r="D22" s="32"/>
      <c r="E22" s="32"/>
      <c r="F22" s="32"/>
      <c r="G22" s="32"/>
      <c r="H22" s="33"/>
      <c r="I22" s="33"/>
      <c r="J22" s="34"/>
    </row>
    <row r="24" spans="1:10" x14ac:dyDescent="0.3">
      <c r="G24" s="51" t="s">
        <v>1</v>
      </c>
      <c r="H24" s="51"/>
      <c r="I24" s="9">
        <f>SUM(I5:I22)</f>
        <v>10.927000000000001</v>
      </c>
      <c r="J24" s="29"/>
    </row>
    <row r="25" spans="1:10" x14ac:dyDescent="0.3">
      <c r="A25" s="10" t="s">
        <v>24</v>
      </c>
      <c r="B25" s="11"/>
      <c r="C25" s="11"/>
      <c r="D25" s="11"/>
      <c r="E25" s="12"/>
      <c r="G25" s="52" t="s">
        <v>3</v>
      </c>
      <c r="H25" s="52"/>
      <c r="I25" s="7">
        <f>I24*0.19</f>
        <v>2.0761300000000005</v>
      </c>
      <c r="J25" s="29"/>
    </row>
    <row r="26" spans="1:10" x14ac:dyDescent="0.3">
      <c r="A26" s="46" t="s">
        <v>16</v>
      </c>
      <c r="B26" s="47"/>
      <c r="C26" s="13" t="s">
        <v>15</v>
      </c>
      <c r="D26" s="47" t="s">
        <v>17</v>
      </c>
      <c r="E26" s="48"/>
      <c r="G26" s="52" t="s">
        <v>2</v>
      </c>
      <c r="H26" s="52"/>
      <c r="I26" s="8">
        <f>I24*1.19</f>
        <v>13.003130000000001</v>
      </c>
      <c r="J26" s="29"/>
    </row>
    <row r="27" spans="1:10" x14ac:dyDescent="0.3">
      <c r="A27" s="36" t="s">
        <v>29</v>
      </c>
      <c r="B27" s="37"/>
      <c r="C27" s="14" t="s">
        <v>27</v>
      </c>
      <c r="D27" s="40" t="s">
        <v>22</v>
      </c>
      <c r="E27" s="41"/>
      <c r="I27" s="28"/>
    </row>
    <row r="28" spans="1:10" x14ac:dyDescent="0.3">
      <c r="A28" s="36" t="s">
        <v>30</v>
      </c>
      <c r="B28" s="37"/>
      <c r="C28" s="14" t="s">
        <v>26</v>
      </c>
      <c r="D28" s="40" t="s">
        <v>19</v>
      </c>
      <c r="E28" s="41"/>
    </row>
    <row r="29" spans="1:10" x14ac:dyDescent="0.3">
      <c r="A29" s="36" t="s">
        <v>31</v>
      </c>
      <c r="B29" s="37"/>
      <c r="C29" s="14" t="s">
        <v>26</v>
      </c>
      <c r="D29" s="40" t="s">
        <v>13</v>
      </c>
      <c r="E29" s="41"/>
      <c r="H29" t="s">
        <v>12</v>
      </c>
    </row>
    <row r="30" spans="1:10" x14ac:dyDescent="0.3">
      <c r="A30" s="38" t="s">
        <v>32</v>
      </c>
      <c r="B30" s="39"/>
      <c r="C30" s="15" t="s">
        <v>26</v>
      </c>
      <c r="D30" s="42" t="s">
        <v>14</v>
      </c>
      <c r="E30" s="43"/>
    </row>
    <row r="31" spans="1:10" x14ac:dyDescent="0.3">
      <c r="A31" s="38" t="s">
        <v>28</v>
      </c>
      <c r="B31" s="39"/>
      <c r="C31" s="15"/>
      <c r="D31" s="42" t="s">
        <v>33</v>
      </c>
      <c r="E31" s="43"/>
    </row>
    <row r="46" spans="1:10" x14ac:dyDescent="0.3">
      <c r="A46" s="2"/>
      <c r="B46" s="2"/>
      <c r="C46" s="1"/>
      <c r="D46" s="2"/>
      <c r="E46" s="1"/>
      <c r="F46" s="2"/>
      <c r="G46" s="2"/>
      <c r="H46" s="2"/>
      <c r="I46" s="2"/>
      <c r="J46" s="2"/>
    </row>
    <row r="47" spans="1:10" x14ac:dyDescent="0.3">
      <c r="A47" s="1"/>
      <c r="B47" s="1"/>
      <c r="C47" s="2"/>
      <c r="D47" s="1"/>
      <c r="E47" s="2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2"/>
      <c r="E49" s="1"/>
      <c r="F49" s="2"/>
      <c r="G49" s="1"/>
      <c r="H49" s="1"/>
      <c r="I49" s="1"/>
      <c r="J49" s="3"/>
    </row>
    <row r="50" spans="1:10" x14ac:dyDescent="0.3">
      <c r="A50" s="1"/>
      <c r="B50" s="1"/>
      <c r="C50" s="2"/>
      <c r="D50" s="1"/>
      <c r="E50" s="1"/>
      <c r="F50" s="2"/>
      <c r="G50" s="1"/>
      <c r="H50" s="1"/>
      <c r="I50" s="1"/>
      <c r="J50" s="3"/>
    </row>
    <row r="51" spans="1:10" x14ac:dyDescent="0.3">
      <c r="A51" s="1"/>
      <c r="B51" s="1"/>
      <c r="C51" s="1"/>
      <c r="D51" s="1"/>
      <c r="E51" s="1"/>
      <c r="F51" s="2"/>
      <c r="G51" s="1"/>
      <c r="H51" s="1"/>
      <c r="I51" s="1"/>
      <c r="J51" s="3"/>
    </row>
    <row r="52" spans="1:10" x14ac:dyDescent="0.3">
      <c r="A52" s="1"/>
      <c r="B52" s="1"/>
      <c r="C52" s="2"/>
      <c r="D52" s="1"/>
      <c r="E52" s="1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</sheetData>
  <mergeCells count="19">
    <mergeCell ref="H1:J1"/>
    <mergeCell ref="H2:J2"/>
    <mergeCell ref="G24:H24"/>
    <mergeCell ref="G25:H25"/>
    <mergeCell ref="G26:H26"/>
    <mergeCell ref="A1:B1"/>
    <mergeCell ref="A2:B2"/>
    <mergeCell ref="A26:B26"/>
    <mergeCell ref="A27:B27"/>
    <mergeCell ref="D26:E26"/>
    <mergeCell ref="A28:B28"/>
    <mergeCell ref="A29:B29"/>
    <mergeCell ref="A31:B31"/>
    <mergeCell ref="D27:E27"/>
    <mergeCell ref="D28:E28"/>
    <mergeCell ref="D29:E29"/>
    <mergeCell ref="D31:E31"/>
    <mergeCell ref="A30:B30"/>
    <mergeCell ref="D30:E30"/>
  </mergeCells>
  <phoneticPr fontId="4" type="noConversion"/>
  <dataValidations disablePrompts="1" count="1">
    <dataValidation type="list" allowBlank="1" showInputMessage="1" showErrorMessage="1" sqref="F22 F5:F12 F15:F19" xr:uid="{00000000-0002-0000-0000-000000000000}">
      <formula1>$A$27:$A$31</formula1>
    </dataValidation>
  </dataValidations>
  <hyperlinks>
    <hyperlink ref="D29" r:id="rId1" xr:uid="{00000000-0004-0000-0000-000000000000}"/>
    <hyperlink ref="D28" r:id="rId2" xr:uid="{00000000-0004-0000-0000-000001000000}"/>
    <hyperlink ref="D27" r:id="rId3" xr:uid="{00000000-0004-0000-0000-000002000000}"/>
    <hyperlink ref="D30" r:id="rId4" xr:uid="{00000000-0004-0000-0000-000004000000}"/>
    <hyperlink ref="J8" r:id="rId5" xr:uid="{85611FA3-DA6B-4401-BC4A-CB8B8F5F9061}"/>
    <hyperlink ref="C5" r:id="rId6" display="https://www.mouser.de/manufacturer/eagleplasticdevices/" xr:uid="{40DBAECB-FF27-46BD-9F79-41CFB06A3CDC}"/>
  </hyperlinks>
  <pageMargins left="0.25" right="0.25" top="0.75" bottom="0.75" header="0.3" footer="0.3"/>
  <pageSetup paperSize="9" orientation="landscape" r:id="rId7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2025-11-19T13:10:03Z</dcterms:modified>
</cp:coreProperties>
</file>