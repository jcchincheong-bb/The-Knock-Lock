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72D83F62-616E-42D7-B596-8877CC0D4BE3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<sst xmlns="http://schemas.openxmlformats.org/spreadsheetml/2006/main" count="123" uniqueCount="106">
  <si>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</si>
  <si>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</si>
  <si>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</si>
  <si>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</si>
  <si>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</si>
  <si>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</si>
  <si>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</si>
  <si>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</si>
  <si>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</si>
  <si>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</si>
  <si>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</si>
  <si>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</si>
  <si>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</si>
  <si>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</si>
  <si>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</si>
  <si>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</si>
  <si>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</si>
  <si>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</si>
  <si>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</si>
  <si>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</si>
  <si>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</si>
  <si>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</si>
  <si>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</si>
  <si>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</si>
  <si>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</si>
  <si>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</si>
  <si>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</si>
  <si>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</si>
  <si>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</si>
  <si>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</si>
  <si>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</si>
  <si>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</si>
  <si>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</si>
  <si>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</si>
  <si>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</si>
  <si>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</si>
  <si>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</si>
  <si>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</si>
  <si>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</si>
  <si>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</si>
  <si>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</si>
  <si>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</si>
  <si>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</si>
  <si>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</si>
  <si>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</si>
  <si>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</si>
  <si>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</si>
  <si>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</si>
  <si>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</si>
  <si>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</si>
  <si>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</si>
  <si>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</si>
  <si>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</si>
  <si>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</si>
  <si>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</si>
  <si>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</si>
  <si>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</si>
  <si>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</si>
  <si>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</si>
  <si>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</si>
  <si>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</si>
  <si>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</si>
  <si>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</si>
  <si>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Same Sky</t>
  </si>
  <si>
    <t>TBP04R12-500-03BE</t>
  </si>
  <si>
    <t>179-TBP04R12-50003BE</t>
  </si>
  <si>
    <t>https://www.mouser.de/ProductDetail/Same-Sky/TBP04R12-500-03BE?qs=TCDPyi3sCW0NaxY6tKwPhA%3D%3D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</si>
  <si>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</si>
  <si>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</si>
  <si>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</si>
  <si>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</si>
  <si>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</si>
  <si>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</si>
  <si>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</si>
  <si>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BC 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</si>
  <si>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</si>
  <si>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</si>
  <si>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</si>
  <si>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</si>
  <si>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</si>
  <si>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</si>
  <si>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Schottky diode, DO41, 40 V, 1 A</t>
  </si>
  <si>
    <t>1N5819</t>
  </si>
  <si>
    <t>https://www.reichelt.com/de/en/shop/product/schottky_diode_do41_40_v_1_a-41850</t>
  </si>
  <si>
    <t>1N 5819</t>
  </si>
  <si>
    <t>LUNSURE</t>
  </si>
  <si>
    <t>https://www.mouser.de/ProductDetail/DFRobot/SER0050?qs=zW32dvEIR3t5syqsDiJx%2Fw%3D%3D</t>
  </si>
  <si>
    <t>SER0050</t>
  </si>
  <si>
    <t>426-SER0050</t>
  </si>
  <si>
    <t>DFRobot</t>
  </si>
  <si>
    <t>https://www.mouser.de/ProductDetail/Same-Sky/UJ2-B-HR-G-TH?qs=HoCaDK9Nz5cuzuu5C%2FN7nw%3D%3D</t>
  </si>
  <si>
    <t>179-UJ2-B-HR-G-TH</t>
  </si>
  <si>
    <t>UJ2-B-HR-G-TH</t>
  </si>
  <si>
    <t>895-FT230XS-U</t>
  </si>
  <si>
    <t>FT230XS-U</t>
  </si>
  <si>
    <t>FTDI</t>
  </si>
  <si>
    <t>https://www.mouser.de/ProductDetail/FTDI/FT230XS-U?qs=sGAEpiMZZMsX%252BY3VKDPZyP5eriYtgtkavaou6tk%2F0oE%3D</t>
  </si>
  <si>
    <t>PKM22EPPH4001-B0 Buzzer</t>
  </si>
  <si>
    <t>2477 Battery Holder</t>
  </si>
  <si>
    <t>LM2575-3.3WT Voltage Regulator</t>
  </si>
  <si>
    <t>MC74HC74ADTR2G Flip Flop</t>
  </si>
  <si>
    <t>UJ2-B-HR-G-TH USB Port</t>
  </si>
  <si>
    <t>TBP04R12-500-03BE JST PH</t>
  </si>
  <si>
    <t>IRLML6402TRPBF MOSFET</t>
  </si>
  <si>
    <t>SER0050 Servo Motor</t>
  </si>
  <si>
    <t>FT230XS-U UART 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</si>
</sst>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-B-HR-G-TH?qs=HoCaDK9Nz5cuzuu5C%2FN7n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2" zoomScale="139" zoomScaleNormal="100" zoomScalePageLayoutView="139" workbookViewId="0">
      <selection activeCell="D19" sqref="D19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52" t="s">
        <v>18</v>
      </c>
      <c r="B1" s="53"/>
      <c r="C1" s="19" t="s">
        <v>48</v>
      </c>
      <c r="G1" s="6" t="s">
        <v>23</v>
      </c>
      <c r="H1" s="57" t="s">
        <v>51</v>
      </c>
      <c r="I1" s="57"/>
      <c r="J1" s="57"/>
    </row>
    <row r="2" spans="1:10" x14ac:dyDescent="0.3">
      <c r="A2" s="52" t="s">
        <v>21</v>
      </c>
      <c r="B2" s="53"/>
      <c r="C2" s="20" t="s">
        <v>49</v>
      </c>
      <c r="G2" s="6" t="s">
        <v>20</v>
      </c>
      <c r="H2" s="58" t="s">
        <v>50</v>
      </c>
      <c r="I2" s="58"/>
      <c r="J2" s="58"/>
    </row>
    <row r="4" spans="1:10" ht="43.2" x14ac:dyDescent="0.3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3.2" x14ac:dyDescent="0.3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3">
      <c r="A7" s="43">
        <v>3</v>
      </c>
      <c r="B7" s="25">
        <v>1</v>
      </c>
      <c r="C7" s="26" t="s">
        <v>46</v>
      </c>
      <c r="D7" s="26" t="s">
        <v>97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28.8" x14ac:dyDescent="0.3">
      <c r="A8" s="7">
        <v>4</v>
      </c>
      <c r="B8" s="26">
        <v>1</v>
      </c>
      <c r="C8" s="40" t="s">
        <v>52</v>
      </c>
      <c r="D8" s="26" t="s">
        <v>98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3.2" x14ac:dyDescent="0.3">
      <c r="A9" s="7">
        <v>5</v>
      </c>
      <c r="B9" s="26">
        <v>1</v>
      </c>
      <c r="C9" s="26" t="s">
        <v>56</v>
      </c>
      <c r="D9" s="26" t="s">
        <v>99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3.2" x14ac:dyDescent="0.3">
      <c r="A10" s="7">
        <v>6</v>
      </c>
      <c r="B10" s="26">
        <v>1</v>
      </c>
      <c r="C10" s="26" t="s">
        <v>62</v>
      </c>
      <c r="D10" s="26" t="s">
        <v>100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28.8" x14ac:dyDescent="0.3">
      <c r="A11" s="8">
        <v>7</v>
      </c>
      <c r="B11" s="28">
        <v>1</v>
      </c>
      <c r="C11" s="28" t="s">
        <v>63</v>
      </c>
      <c r="D11" s="28" t="s">
        <v>101</v>
      </c>
      <c r="E11" s="28" t="s">
        <v>92</v>
      </c>
      <c r="F11" s="28" t="s">
        <v>30</v>
      </c>
      <c r="G11" s="28" t="s">
        <v>91</v>
      </c>
      <c r="H11" s="36">
        <v>1.29</v>
      </c>
      <c r="I11" s="35">
        <f>B11*H11</f>
        <v>1.29</v>
      </c>
      <c r="J11" s="37" t="s">
        <v>90</v>
      </c>
    </row>
    <row r="12" spans="1:10" ht="28.8" x14ac:dyDescent="0.3">
      <c r="A12" s="8">
        <v>8</v>
      </c>
      <c r="B12" s="28">
        <v>1</v>
      </c>
      <c r="C12" s="28" t="s">
        <v>63</v>
      </c>
      <c r="D12" s="28" t="s">
        <v>102</v>
      </c>
      <c r="E12" s="28" t="s">
        <v>64</v>
      </c>
      <c r="F12" s="28" t="s">
        <v>30</v>
      </c>
      <c r="G12" s="28" t="s">
        <v>65</v>
      </c>
      <c r="H12" s="36">
        <v>0.41299999999999998</v>
      </c>
      <c r="I12" s="35">
        <f t="shared" si="0"/>
        <v>0.41299999999999998</v>
      </c>
      <c r="J12" s="37" t="s">
        <v>66</v>
      </c>
    </row>
    <row r="13" spans="1:10" ht="43.2" x14ac:dyDescent="0.3">
      <c r="A13" s="8">
        <v>9</v>
      </c>
      <c r="B13" s="28">
        <v>1</v>
      </c>
      <c r="C13" s="28" t="s">
        <v>68</v>
      </c>
      <c r="D13" s="28" t="s">
        <v>103</v>
      </c>
      <c r="E13" s="28" t="s">
        <v>69</v>
      </c>
      <c r="F13" s="28" t="s">
        <v>30</v>
      </c>
      <c r="G13" s="28" t="s">
        <v>70</v>
      </c>
      <c r="H13" s="36">
        <v>0.35299999999999998</v>
      </c>
      <c r="I13" s="35">
        <f t="shared" si="0"/>
        <v>0.35299999999999998</v>
      </c>
      <c r="J13" s="37" t="s">
        <v>67</v>
      </c>
    </row>
    <row r="14" spans="1:10" ht="28.8" x14ac:dyDescent="0.3">
      <c r="A14" s="8">
        <v>10</v>
      </c>
      <c r="B14" s="28">
        <v>1</v>
      </c>
      <c r="C14" s="28" t="s">
        <v>71</v>
      </c>
      <c r="D14" s="28" t="s">
        <v>72</v>
      </c>
      <c r="E14" s="28" t="s">
        <v>73</v>
      </c>
      <c r="F14" s="28" t="s">
        <v>29</v>
      </c>
      <c r="G14" s="28" t="s">
        <v>74</v>
      </c>
      <c r="H14" s="36">
        <v>0.04</v>
      </c>
      <c r="I14" s="35">
        <f t="shared" si="0"/>
        <v>0.04</v>
      </c>
      <c r="J14" s="37" t="s">
        <v>75</v>
      </c>
    </row>
    <row r="15" spans="1:10" ht="43.2" x14ac:dyDescent="0.3">
      <c r="A15" s="8">
        <v>11</v>
      </c>
      <c r="B15" s="28">
        <v>2</v>
      </c>
      <c r="C15" s="28" t="s">
        <v>80</v>
      </c>
      <c r="D15" s="28" t="s">
        <v>78</v>
      </c>
      <c r="E15" s="28" t="s">
        <v>77</v>
      </c>
      <c r="F15" s="28" t="s">
        <v>31</v>
      </c>
      <c r="G15" s="28" t="s">
        <v>79</v>
      </c>
      <c r="H15" s="36">
        <v>0.15</v>
      </c>
      <c r="I15" s="35">
        <f t="shared" si="0"/>
        <v>0.3</v>
      </c>
      <c r="J15" s="37" t="s">
        <v>76</v>
      </c>
    </row>
    <row r="16" spans="1:10" ht="28.8" x14ac:dyDescent="0.3">
      <c r="A16" s="8">
        <v>12</v>
      </c>
      <c r="B16" s="28">
        <v>1</v>
      </c>
      <c r="C16" s="28" t="s">
        <v>85</v>
      </c>
      <c r="D16" s="28" t="s">
        <v>81</v>
      </c>
      <c r="E16" s="28" t="s">
        <v>82</v>
      </c>
      <c r="F16" s="28" t="s">
        <v>31</v>
      </c>
      <c r="G16" s="28" t="s">
        <v>84</v>
      </c>
      <c r="H16" s="36">
        <v>0.05</v>
      </c>
      <c r="I16" s="35">
        <f t="shared" si="0"/>
        <v>0.05</v>
      </c>
      <c r="J16" s="37" t="s">
        <v>83</v>
      </c>
    </row>
    <row r="17" spans="1:10" ht="28.8" x14ac:dyDescent="0.3">
      <c r="A17" s="8">
        <v>13</v>
      </c>
      <c r="B17" s="28">
        <v>1</v>
      </c>
      <c r="C17" s="28" t="s">
        <v>89</v>
      </c>
      <c r="D17" s="28" t="s">
        <v>104</v>
      </c>
      <c r="E17" s="28" t="s">
        <v>87</v>
      </c>
      <c r="F17" s="28" t="s">
        <v>30</v>
      </c>
      <c r="G17" s="28" t="s">
        <v>88</v>
      </c>
      <c r="H17" s="36">
        <v>5.16</v>
      </c>
      <c r="I17" s="35">
        <f t="shared" si="0"/>
        <v>5.16</v>
      </c>
      <c r="J17" s="37" t="s">
        <v>86</v>
      </c>
    </row>
    <row r="18" spans="1:10" ht="43.2" x14ac:dyDescent="0.3">
      <c r="A18" s="8">
        <v>14</v>
      </c>
      <c r="B18" s="28">
        <v>1</v>
      </c>
      <c r="C18" s="28" t="s">
        <v>95</v>
      </c>
      <c r="D18" s="28" t="s">
        <v>105</v>
      </c>
      <c r="E18" s="28" t="s">
        <v>94</v>
      </c>
      <c r="F18" s="28" t="s">
        <v>30</v>
      </c>
      <c r="G18" s="28" t="s">
        <v>93</v>
      </c>
      <c r="H18" s="36">
        <v>1.7</v>
      </c>
      <c r="I18" s="35">
        <f t="shared" si="0"/>
        <v>1.7</v>
      </c>
      <c r="J18" s="37" t="s">
        <v>96</v>
      </c>
    </row>
    <row r="19" spans="1:10" x14ac:dyDescent="0.3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3">
      <c r="G20" s="59" t="s">
        <v>1</v>
      </c>
      <c r="H20" s="59"/>
      <c r="I20" s="12">
        <f>SUM(I5:I19)</f>
        <v>22.139999999999997</v>
      </c>
      <c r="J20" s="4"/>
    </row>
    <row r="21" spans="1:10" x14ac:dyDescent="0.3">
      <c r="A21" s="13" t="s">
        <v>24</v>
      </c>
      <c r="B21" s="14"/>
      <c r="C21" s="14"/>
      <c r="D21" s="14"/>
      <c r="E21" s="15"/>
      <c r="G21" s="60" t="s">
        <v>3</v>
      </c>
      <c r="H21" s="60"/>
      <c r="I21" s="10">
        <f>I20*0.19</f>
        <v>4.2065999999999999</v>
      </c>
    </row>
    <row r="22" spans="1:10" x14ac:dyDescent="0.3">
      <c r="A22" s="54" t="s">
        <v>16</v>
      </c>
      <c r="B22" s="55"/>
      <c r="C22" s="16" t="s">
        <v>15</v>
      </c>
      <c r="D22" s="55" t="s">
        <v>17</v>
      </c>
      <c r="E22" s="56"/>
      <c r="G22" s="60" t="s">
        <v>2</v>
      </c>
      <c r="H22" s="60"/>
      <c r="I22" s="11">
        <f>I20*1.19</f>
        <v>26.346599999999995</v>
      </c>
    </row>
    <row r="23" spans="1:10" x14ac:dyDescent="0.3">
      <c r="A23" s="44" t="s">
        <v>29</v>
      </c>
      <c r="B23" s="45"/>
      <c r="C23" s="17" t="s">
        <v>27</v>
      </c>
      <c r="D23" s="48" t="s">
        <v>22</v>
      </c>
      <c r="E23" s="49"/>
    </row>
    <row r="24" spans="1:10" x14ac:dyDescent="0.3">
      <c r="A24" s="44" t="s">
        <v>30</v>
      </c>
      <c r="B24" s="45"/>
      <c r="C24" s="17" t="s">
        <v>26</v>
      </c>
      <c r="D24" s="48" t="s">
        <v>19</v>
      </c>
      <c r="E24" s="49"/>
    </row>
    <row r="25" spans="1:10" x14ac:dyDescent="0.3">
      <c r="A25" s="44" t="s">
        <v>31</v>
      </c>
      <c r="B25" s="45"/>
      <c r="C25" s="17" t="s">
        <v>26</v>
      </c>
      <c r="D25" s="48" t="s">
        <v>13</v>
      </c>
      <c r="E25" s="49"/>
      <c r="H25" t="s">
        <v>12</v>
      </c>
    </row>
    <row r="26" spans="1:10" x14ac:dyDescent="0.3">
      <c r="A26" s="46" t="s">
        <v>32</v>
      </c>
      <c r="B26" s="47"/>
      <c r="C26" s="18" t="s">
        <v>26</v>
      </c>
      <c r="D26" s="50" t="s">
        <v>14</v>
      </c>
      <c r="E26" s="51"/>
    </row>
    <row r="27" spans="1:10" x14ac:dyDescent="0.3">
      <c r="A27" s="46" t="s">
        <v>28</v>
      </c>
      <c r="B27" s="47"/>
      <c r="C27" s="18"/>
      <c r="D27" s="50" t="s">
        <v>33</v>
      </c>
      <c r="E27" s="51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3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2025-10-31T11:40:45Z</dcterms:modified>
</cp:coreProperties>
</file>