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20" documentId="13_ncr:1_{EEAE5BBC-4365-4AE5-B0CB-20AC8513012B}" xr6:coauthVersionLast="47" xr6:coauthVersionMax="47" xr10:uidLastSave="{6A8F1AE6-9DDF-4311-A438-DD5C2984C6A5}"/>
  <workbookProtection lockStructure="1"/>
  <bookViews>
    <workbookView xWindow="22932" yWindow="-60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<sst xmlns="http://schemas.openxmlformats.org/spreadsheetml/2006/main" count="92" uniqueCount="74">
  <si>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</si>
  <si>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</si>
  <si>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</si>
  <si>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</si>
  <si>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</si>
  <si>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</si>
  <si>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</si>
  <si>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</si>
  <si>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</si>
  <si>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</si>
  <si>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</si>
  <si>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</si>
  <si>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</si>
  <si>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</si>
  <si>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</si>
  <si>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</si>
  <si>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</si>
  <si>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</si>
  <si>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</si>
  <si>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</si>
  <si>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</si>
  <si>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</si>
  <si>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</si>
  <si>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</si>
  <si>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</si>
  <si>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</si>
  <si>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</si>
  <si>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</si>
  <si>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</si>
  <si>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</si>
  <si>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</si>
  <si>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</si>
  <si>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</si>
  <si>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</si>
  <si>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</si>
  <si>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</si>
  <si>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</si>
  <si>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</si>
  <si>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</si>
  <si>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</si>
  <si>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</si>
  <si>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</si>
  <si>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</si>
  <si>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</si>
  <si>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</si>
  <si>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</si>
  <si>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</si>
  <si>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</si>
  <si>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</si>
  <si>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</si>
  <si>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</si>
  <si>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</si>
  <si>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</si>
  <si>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</si>
  <si>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</si>
  <si>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</si>
  <si>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</si>
  <si>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</si>
  <si>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</si>
  <si>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</si>
  <si>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</si>
  <si>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</si>
  <si>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</si>
  <si>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https://www.mouser.de/ProductDetail/Same-Sky/UJ20-C-H-G-TH-P16-TR?qs=IKkN%2F947nfDgv1IMBq%252Bdzg%3D%3D</t>
  </si>
  <si>
    <t>179-UJ20CHGTHP16TR</t>
  </si>
  <si>
    <t>UJ20-C-H-G-TH-P16-TR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</si>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</sst>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0-C-H-G-TH-P16-TR?qs=IKkN%2F947nfDgv1IMBq%252Bdz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B9" zoomScale="139" zoomScaleNormal="100" zoomScalePageLayoutView="139" workbookViewId="0">
      <selection activeCell="J13" sqref="J13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52" t="s">
        <v>18</v>
      </c>
      <c r="B1" s="53"/>
      <c r="C1" s="19" t="s">
        <v>48</v>
      </c>
      <c r="G1" s="6" t="s">
        <v>23</v>
      </c>
      <c r="H1" s="57" t="s">
        <v>51</v>
      </c>
      <c r="I1" s="57"/>
      <c r="J1" s="57"/>
    </row>
    <row r="2" spans="1:10" x14ac:dyDescent="0.25">
      <c r="A2" s="52" t="s">
        <v>21</v>
      </c>
      <c r="B2" s="53"/>
      <c r="C2" s="20" t="s">
        <v>49</v>
      </c>
      <c r="G2" s="6" t="s">
        <v>20</v>
      </c>
      <c r="H2" s="58" t="s">
        <v>50</v>
      </c>
      <c r="I2" s="58"/>
      <c r="J2" s="58"/>
    </row>
    <row r="4" spans="1:10" ht="45" x14ac:dyDescent="0.25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5" x14ac:dyDescent="0.25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25">
      <c r="A7" s="43">
        <v>3</v>
      </c>
      <c r="B7" s="25">
        <v>1</v>
      </c>
      <c r="C7" s="26" t="s">
        <v>46</v>
      </c>
      <c r="D7" s="26" t="s">
        <v>45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30" x14ac:dyDescent="0.25">
      <c r="A8" s="7">
        <v>4</v>
      </c>
      <c r="B8" s="26">
        <v>1</v>
      </c>
      <c r="C8" s="40" t="s">
        <v>52</v>
      </c>
      <c r="D8" s="26">
        <v>2477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5" x14ac:dyDescent="0.25">
      <c r="A9" s="7">
        <v>5</v>
      </c>
      <c r="B9" s="26">
        <v>1</v>
      </c>
      <c r="C9" s="26" t="s">
        <v>56</v>
      </c>
      <c r="D9" s="26" t="s">
        <v>54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5" x14ac:dyDescent="0.25">
      <c r="A10" s="7">
        <v>6</v>
      </c>
      <c r="B10" s="26">
        <v>1</v>
      </c>
      <c r="C10" s="26" t="s">
        <v>62</v>
      </c>
      <c r="D10" s="26" t="s">
        <v>60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45" x14ac:dyDescent="0.25">
      <c r="A11" s="8">
        <v>7</v>
      </c>
      <c r="B11" s="28">
        <v>1</v>
      </c>
      <c r="C11" s="28" t="s">
        <v>66</v>
      </c>
      <c r="D11" s="28" t="s">
        <v>65</v>
      </c>
      <c r="E11" s="28" t="s">
        <v>65</v>
      </c>
      <c r="F11" s="28" t="s">
        <v>30</v>
      </c>
      <c r="G11" s="28" t="s">
        <v>64</v>
      </c>
      <c r="H11" s="36">
        <v>0.80800000000000005</v>
      </c>
      <c r="I11" s="35">
        <f>B11*H11</f>
        <v>0.80800000000000005</v>
      </c>
      <c r="J11" s="37" t="s">
        <v>63</v>
      </c>
    </row>
    <row r="12" spans="1:10" ht="45" x14ac:dyDescent="0.25">
      <c r="A12" s="8">
        <v>8</v>
      </c>
      <c r="B12" s="28">
        <v>1</v>
      </c>
      <c r="C12" s="28" t="s">
        <v>66</v>
      </c>
      <c r="D12" s="28" t="s">
        <v>67</v>
      </c>
      <c r="E12" s="28" t="s">
        <v>67</v>
      </c>
      <c r="F12" s="28" t="s">
        <v>30</v>
      </c>
      <c r="G12" s="28" t="s">
        <v>68</v>
      </c>
      <c r="H12" s="36">
        <v>0.41299999999999998</v>
      </c>
      <c r="I12" s="35">
        <f t="shared" si="0"/>
        <v>0.41299999999999998</v>
      </c>
      <c r="J12" s="37" t="s">
        <v>69</v>
      </c>
    </row>
    <row r="13" spans="1:10" ht="45" x14ac:dyDescent="0.25">
      <c r="A13" s="8">
        <v>9</v>
      </c>
      <c r="B13" s="28">
        <v>1</v>
      </c>
      <c r="C13" s="28" t="s">
        <v>71</v>
      </c>
      <c r="D13" s="28" t="s">
        <v>72</v>
      </c>
      <c r="E13" s="28" t="s">
        <v>72</v>
      </c>
      <c r="F13" s="28" t="s">
        <v>30</v>
      </c>
      <c r="G13" s="28" t="s">
        <v>73</v>
      </c>
      <c r="H13" s="36">
        <v>0.35299999999999998</v>
      </c>
      <c r="I13" s="35">
        <f t="shared" si="0"/>
        <v>0.35299999999999998</v>
      </c>
      <c r="J13" s="37" t="s">
        <v>70</v>
      </c>
    </row>
    <row r="14" spans="1:10" x14ac:dyDescent="0.25">
      <c r="A14" s="8">
        <v>10</v>
      </c>
      <c r="B14" s="28"/>
      <c r="C14" s="28"/>
      <c r="D14" s="28"/>
      <c r="E14" s="28"/>
      <c r="F14" s="28"/>
      <c r="G14" s="28"/>
      <c r="H14" s="36"/>
      <c r="I14" s="35">
        <f t="shared" si="0"/>
        <v>0</v>
      </c>
      <c r="J14" s="37"/>
    </row>
    <row r="15" spans="1:10" x14ac:dyDescent="0.25">
      <c r="A15" s="8">
        <v>11</v>
      </c>
      <c r="B15" s="28"/>
      <c r="C15" s="28"/>
      <c r="D15" s="28"/>
      <c r="E15" s="28"/>
      <c r="F15" s="28"/>
      <c r="G15" s="28"/>
      <c r="H15" s="36"/>
      <c r="I15" s="35">
        <f t="shared" si="0"/>
        <v>0</v>
      </c>
      <c r="J15" s="37"/>
    </row>
    <row r="16" spans="1:10" x14ac:dyDescent="0.25">
      <c r="A16" s="8">
        <v>12</v>
      </c>
      <c r="B16" s="28"/>
      <c r="C16" s="28"/>
      <c r="D16" s="28"/>
      <c r="E16" s="28"/>
      <c r="F16" s="28"/>
      <c r="G16" s="28"/>
      <c r="H16" s="36"/>
      <c r="I16" s="35">
        <f t="shared" si="0"/>
        <v>0</v>
      </c>
      <c r="J16" s="37"/>
    </row>
    <row r="17" spans="1:10" x14ac:dyDescent="0.25">
      <c r="A17" s="8">
        <v>13</v>
      </c>
      <c r="B17" s="28"/>
      <c r="C17" s="28"/>
      <c r="D17" s="28"/>
      <c r="E17" s="28"/>
      <c r="F17" s="28"/>
      <c r="G17" s="28"/>
      <c r="H17" s="36"/>
      <c r="I17" s="35">
        <f t="shared" si="0"/>
        <v>0</v>
      </c>
      <c r="J17" s="37"/>
    </row>
    <row r="18" spans="1:10" x14ac:dyDescent="0.25">
      <c r="A18" s="8">
        <v>14</v>
      </c>
      <c r="B18" s="28"/>
      <c r="C18" s="28"/>
      <c r="D18" s="28"/>
      <c r="E18" s="28"/>
      <c r="F18" s="28"/>
      <c r="G18" s="28"/>
      <c r="H18" s="36"/>
      <c r="I18" s="35">
        <f t="shared" si="0"/>
        <v>0</v>
      </c>
      <c r="J18" s="37"/>
    </row>
    <row r="19" spans="1:10" x14ac:dyDescent="0.25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25">
      <c r="G20" s="59" t="s">
        <v>1</v>
      </c>
      <c r="H20" s="59"/>
      <c r="I20" s="12">
        <f>SUM(I5:I19)</f>
        <v>14.407999999999999</v>
      </c>
      <c r="J20" s="4"/>
    </row>
    <row r="21" spans="1:10" x14ac:dyDescent="0.25">
      <c r="A21" s="13" t="s">
        <v>24</v>
      </c>
      <c r="B21" s="14"/>
      <c r="C21" s="14"/>
      <c r="D21" s="14"/>
      <c r="E21" s="15"/>
      <c r="G21" s="60" t="s">
        <v>3</v>
      </c>
      <c r="H21" s="60"/>
      <c r="I21" s="10">
        <f>I20*0.19</f>
        <v>2.73752</v>
      </c>
    </row>
    <row r="22" spans="1:10" x14ac:dyDescent="0.25">
      <c r="A22" s="54" t="s">
        <v>16</v>
      </c>
      <c r="B22" s="55"/>
      <c r="C22" s="16" t="s">
        <v>15</v>
      </c>
      <c r="D22" s="55" t="s">
        <v>17</v>
      </c>
      <c r="E22" s="56"/>
      <c r="G22" s="60" t="s">
        <v>2</v>
      </c>
      <c r="H22" s="60"/>
      <c r="I22" s="11">
        <f>I20*1.19</f>
        <v>17.145519999999998</v>
      </c>
    </row>
    <row r="23" spans="1:10" x14ac:dyDescent="0.25">
      <c r="A23" s="44" t="s">
        <v>29</v>
      </c>
      <c r="B23" s="45"/>
      <c r="C23" s="17" t="s">
        <v>27</v>
      </c>
      <c r="D23" s="48" t="s">
        <v>22</v>
      </c>
      <c r="E23" s="49"/>
    </row>
    <row r="24" spans="1:10" x14ac:dyDescent="0.25">
      <c r="A24" s="44" t="s">
        <v>30</v>
      </c>
      <c r="B24" s="45"/>
      <c r="C24" s="17" t="s">
        <v>26</v>
      </c>
      <c r="D24" s="48" t="s">
        <v>19</v>
      </c>
      <c r="E24" s="49"/>
    </row>
    <row r="25" spans="1:10" x14ac:dyDescent="0.25">
      <c r="A25" s="44" t="s">
        <v>31</v>
      </c>
      <c r="B25" s="45"/>
      <c r="C25" s="17" t="s">
        <v>26</v>
      </c>
      <c r="D25" s="48" t="s">
        <v>13</v>
      </c>
      <c r="E25" s="49"/>
      <c r="H25" t="s">
        <v>12</v>
      </c>
    </row>
    <row r="26" spans="1:10" x14ac:dyDescent="0.25">
      <c r="A26" s="46" t="s">
        <v>32</v>
      </c>
      <c r="B26" s="47"/>
      <c r="C26" s="18" t="s">
        <v>26</v>
      </c>
      <c r="D26" s="50" t="s">
        <v>14</v>
      </c>
      <c r="E26" s="51"/>
    </row>
    <row r="27" spans="1:10" x14ac:dyDescent="0.25">
      <c r="A27" s="46" t="s">
        <v>28</v>
      </c>
      <c r="B27" s="47"/>
      <c r="C27" s="18"/>
      <c r="D27" s="50" t="s">
        <v>33</v>
      </c>
      <c r="E27" s="51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2025-10-26T12:20:52Z</dcterms:modified>
</cp:coreProperties>
</file>