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Practical Electronics/pe04/schematic-design/"/>
    </mc:Choice>
  </mc:AlternateContent>
  <xr:revisionPtr revIDLastSave="31" documentId="13_ncr:1_{161CBEA3-A91F-4564-AED2-E40A4C628EBC}" xr6:coauthVersionLast="47" xr6:coauthVersionMax="47" xr10:uidLastSave="{54EA14C4-37E7-4905-A824-B3ED336D4F05}"/>
  <workbookProtection lockStructure="1"/>
  <bookViews>
    <workbookView xWindow="22932" yWindow="-60" windowWidth="23256" windowHeight="1245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5" l="1"/>
  <c r="I6" i="5"/>
  <c r="I7" i="5"/>
  <c r="I8" i="5"/>
  <c r="I9" i="5" l="1"/>
  <c r="I10" i="5"/>
  <c r="I11" i="5"/>
  <c r="I12" i="5"/>
  <c r="I13" i="5"/>
  <c r="I14" i="5"/>
  <c r="I15" i="5"/>
  <c r="I16" i="5"/>
  <c r="I17" i="5"/>
  <c r="I18" i="5"/>
  <c r="I19" i="5"/>
  <c r="I20" i="5" l="1"/>
  <c r="I22" i="5" s="1"/>
  <c r="I21" i="5" l="1"/>
</calcChain>
</file>

<file path=xl/sharedStrings.xml><?xml version="1.0" encoding="utf-8"?>
<sst xmlns="http://schemas.openxmlformats.org/spreadsheetml/2006/main" count="116" uniqueCount="93">
  <si>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</si>
  <si>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</si>
  <si>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</si>
  <si>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</si>
  <si>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</si>
  <si>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</si>
  <si>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</si>
  <si>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</si>
  <si>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</si>
  <si>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</si>
  <si>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</si>
  <si>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</si>
  <si>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</si>
  <si>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</si>
  <si>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</si>
  <si>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</si>
  <si>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</si>
  <si>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</si>
  <si>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</si>
  <si>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</si>
  <si>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</si>
  <si>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</si>
  <si>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</si>
  <si>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</si>
  <si>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</si>
  <si>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</si>
  <si>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</si>
  <si>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</si>
  <si>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</si>
  <si>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</si>
  <si>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</si>
  <si>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</si>
  <si>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</si>
  <si>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</si>
  <si>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</si>
  <si>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</si>
  <si>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</si>
  <si>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</si>
  <si>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</si>
  <si>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</si>
  <si>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</si>
  <si>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</si>
  <si>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</si>
  <si>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</si>
  <si>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</si>
  <si>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</si>
  <si>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</si>
  <si>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</si>
  <si>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</si>
  <si>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</si>
  <si>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</si>
  <si>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</si>
  <si>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</si>
  <si>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</si>
  <si>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</si>
  <si>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</si>
  <si>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</si>
  <si>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</si>
  <si>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</si>
  <si>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https://www.mouser.de/ProductDetail/onsemi/MC74HC74ADTR2G?qs=qg33o%252B8vzFpElZhsrDIJOg%3D%3D</t>
  </si>
  <si>
    <t>MC74HC74ADTR2G</t>
  </si>
  <si>
    <t>863-MC74HC74ADTR2G</t>
  </si>
  <si>
    <t>onsemi</t>
  </si>
  <si>
    <t>https://www.mouser.de/ProductDetail/Same-Sky/UJ20-C-H-G-TH-P16-TR?qs=IKkN%2F947nfDgv1IMBq%252Bdzg%3D%3D</t>
  </si>
  <si>
    <t>179-UJ20CHGTHP16TR</t>
  </si>
  <si>
    <t>UJ20-C-H-G-TH-P16-TR</t>
  </si>
  <si>
    <t>Same Sky</t>
  </si>
  <si>
    <t>TBP04R12-500-03BE</t>
  </si>
  <si>
    <t>179-TBP04R12-50003BE</t>
  </si>
  <si>
    <t>https://www.mouser.de/ProductDetail/Same-Sky/TBP04R12-500-03BE?qs=TCDPyi3sCW0NaxY6tKwPhA%3D%3D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</si>
  <si>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</si>
  <si>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</si>
  <si>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</si>
  <si>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</si>
  <si>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CDIL</t>
  </si>
  <si>
    <t>Bipolartransistor</t>
  </si>
  <si>
    <t>BC547B</t>
  </si>
  <si>
    <t>BC 547B</t>
  </si>
  <si>
    <t>https://www.reichelt.de/de/de/shop/produkt/bipolartransistor_npn_45v_0_1a_0_5w_to-92-5006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</si>
  <si>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</si>
  <si>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</si>
  <si>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</si>
  <si>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</si>
  <si>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</si>
  <si>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Schottky diode, DO41, 40 V, 1 A</t>
  </si>
  <si>
    <t>1N5819</t>
  </si>
  <si>
    <t>https://www.reichelt.com/de/en/shop/product/schottky_diode_do41_40_v_1_a-41850</t>
  </si>
  <si>
    <t>1N 5819</t>
  </si>
  <si>
    <t>LUNSURE</t>
  </si>
  <si>
    <t>https://www.mouser.de/ProductDetail/DFRobot/SER0050?qs=zW32dvEIR3t5syqsDiJx%2Fw%3D%3D</t>
  </si>
  <si>
    <t>SER0050</t>
  </si>
  <si>
    <t>426-SER0050</t>
  </si>
  <si>
    <t>DFRobot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</si>
</sst>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mouser.de/manufacturer/keystone/" TargetMode="External"/><Relationship Id="rId10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Same-Sky/UJ20-C-H-G-TH-P16-TR?qs=IKkN%2F947nfDgv1IMBq%252Bdz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14" zoomScale="139" zoomScaleNormal="100" zoomScalePageLayoutView="139" workbookViewId="0">
      <selection activeCell="J19" sqref="J19"/>
    </sheetView>
  </sheetViews>
  <sheetFormatPr defaultColWidth="11.5703125" defaultRowHeight="15" x14ac:dyDescent="0.25"/>
  <cols>
    <col min="1" max="1" width="5" customWidth="1"/>
    <col min="2" max="2" width="4.85546875" customWidth="1"/>
    <col min="3" max="3" width="12.42578125" customWidth="1"/>
    <col min="4" max="4" width="14.42578125" customWidth="1"/>
    <col min="5" max="5" width="13.7109375" customWidth="1"/>
    <col min="6" max="6" width="7.7109375" customWidth="1"/>
    <col min="7" max="7" width="12.85546875" customWidth="1"/>
    <col min="8" max="8" width="8.7109375" customWidth="1"/>
    <col min="9" max="9" width="6.5703125" customWidth="1"/>
    <col min="10" max="10" width="55.28515625" customWidth="1"/>
    <col min="13" max="13" width="12.28515625" customWidth="1"/>
    <col min="20" max="20" width="9.42578125" customWidth="1"/>
    <col min="21" max="21" width="17.7109375" customWidth="1"/>
  </cols>
  <sheetData>
    <row r="1" spans="1:10" x14ac:dyDescent="0.25">
      <c r="A1" s="52" t="s">
        <v>18</v>
      </c>
      <c r="B1" s="53"/>
      <c r="C1" s="19" t="s">
        <v>48</v>
      </c>
      <c r="G1" s="6" t="s">
        <v>23</v>
      </c>
      <c r="H1" s="57" t="s">
        <v>51</v>
      </c>
      <c r="I1" s="57"/>
      <c r="J1" s="57"/>
    </row>
    <row r="2" spans="1:10" x14ac:dyDescent="0.25">
      <c r="A2" s="52" t="s">
        <v>21</v>
      </c>
      <c r="B2" s="53"/>
      <c r="C2" s="20" t="s">
        <v>49</v>
      </c>
      <c r="G2" s="6" t="s">
        <v>20</v>
      </c>
      <c r="H2" s="58" t="s">
        <v>50</v>
      </c>
      <c r="I2" s="58"/>
      <c r="J2" s="58"/>
    </row>
    <row r="4" spans="1:10" ht="45" x14ac:dyDescent="0.25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15" customHeight="1" x14ac:dyDescent="0.25">
      <c r="A5" s="42">
        <v>1</v>
      </c>
      <c r="B5" s="21">
        <v>1</v>
      </c>
      <c r="C5" s="22" t="s">
        <v>34</v>
      </c>
      <c r="D5" s="22" t="s">
        <v>38</v>
      </c>
      <c r="E5" s="30" t="s">
        <v>35</v>
      </c>
      <c r="F5" s="22" t="s">
        <v>30</v>
      </c>
      <c r="G5" s="31" t="s">
        <v>36</v>
      </c>
      <c r="H5" s="23">
        <v>3.12</v>
      </c>
      <c r="I5" s="23">
        <f>B5*H5</f>
        <v>3.12</v>
      </c>
      <c r="J5" s="24" t="s">
        <v>37</v>
      </c>
    </row>
    <row r="6" spans="1:10" ht="45" x14ac:dyDescent="0.25">
      <c r="A6" s="43">
        <v>2</v>
      </c>
      <c r="B6" s="25">
        <v>1</v>
      </c>
      <c r="C6" s="26" t="s">
        <v>39</v>
      </c>
      <c r="D6" s="26" t="s">
        <v>40</v>
      </c>
      <c r="E6" s="32" t="s">
        <v>41</v>
      </c>
      <c r="F6" s="26" t="s">
        <v>30</v>
      </c>
      <c r="G6" s="32" t="s">
        <v>42</v>
      </c>
      <c r="H6" s="27">
        <v>5.65</v>
      </c>
      <c r="I6" s="23">
        <f t="shared" ref="I6:I19" si="0">B6*H6</f>
        <v>5.65</v>
      </c>
      <c r="J6" s="33" t="s">
        <v>43</v>
      </c>
    </row>
    <row r="7" spans="1:10" ht="40.5" customHeight="1" x14ac:dyDescent="0.25">
      <c r="A7" s="43">
        <v>3</v>
      </c>
      <c r="B7" s="25">
        <v>1</v>
      </c>
      <c r="C7" s="26" t="s">
        <v>46</v>
      </c>
      <c r="D7" s="26" t="s">
        <v>45</v>
      </c>
      <c r="E7" s="26" t="s">
        <v>45</v>
      </c>
      <c r="F7" s="26" t="s">
        <v>30</v>
      </c>
      <c r="G7" s="26" t="s">
        <v>44</v>
      </c>
      <c r="H7" s="27">
        <v>0.48199999999999998</v>
      </c>
      <c r="I7" s="23">
        <f t="shared" si="0"/>
        <v>0.48199999999999998</v>
      </c>
      <c r="J7" s="33" t="s">
        <v>47</v>
      </c>
    </row>
    <row r="8" spans="1:10" ht="30" x14ac:dyDescent="0.25">
      <c r="A8" s="7">
        <v>4</v>
      </c>
      <c r="B8" s="26">
        <v>1</v>
      </c>
      <c r="C8" s="40" t="s">
        <v>52</v>
      </c>
      <c r="D8" s="26">
        <v>2477</v>
      </c>
      <c r="E8" s="32">
        <v>2477</v>
      </c>
      <c r="F8" s="26" t="s">
        <v>30</v>
      </c>
      <c r="G8" s="41" t="s">
        <v>57</v>
      </c>
      <c r="H8" s="34">
        <v>1.87</v>
      </c>
      <c r="I8" s="35">
        <f>B8*H8</f>
        <v>1.87</v>
      </c>
      <c r="J8" s="33" t="s">
        <v>58</v>
      </c>
    </row>
    <row r="9" spans="1:10" ht="45" x14ac:dyDescent="0.25">
      <c r="A9" s="7">
        <v>5</v>
      </c>
      <c r="B9" s="26">
        <v>1</v>
      </c>
      <c r="C9" s="26" t="s">
        <v>56</v>
      </c>
      <c r="D9" s="26" t="s">
        <v>54</v>
      </c>
      <c r="E9" s="26" t="s">
        <v>54</v>
      </c>
      <c r="F9" s="26" t="s">
        <v>30</v>
      </c>
      <c r="G9" s="26" t="s">
        <v>55</v>
      </c>
      <c r="H9" s="34">
        <v>1.48</v>
      </c>
      <c r="I9" s="35">
        <f>B9*H9</f>
        <v>1.48</v>
      </c>
      <c r="J9" s="33" t="s">
        <v>53</v>
      </c>
    </row>
    <row r="10" spans="1:10" ht="45" x14ac:dyDescent="0.25">
      <c r="A10" s="7">
        <v>6</v>
      </c>
      <c r="B10" s="26">
        <v>1</v>
      </c>
      <c r="C10" s="26" t="s">
        <v>62</v>
      </c>
      <c r="D10" s="26" t="s">
        <v>60</v>
      </c>
      <c r="E10" s="26" t="s">
        <v>60</v>
      </c>
      <c r="F10" s="26" t="s">
        <v>30</v>
      </c>
      <c r="G10" s="26" t="s">
        <v>61</v>
      </c>
      <c r="H10" s="34">
        <v>0.23200000000000001</v>
      </c>
      <c r="I10" s="35">
        <f>B10*H10</f>
        <v>0.23200000000000001</v>
      </c>
      <c r="J10" s="33" t="s">
        <v>59</v>
      </c>
    </row>
    <row r="11" spans="1:10" ht="45" x14ac:dyDescent="0.25">
      <c r="A11" s="8">
        <v>7</v>
      </c>
      <c r="B11" s="28">
        <v>1</v>
      </c>
      <c r="C11" s="28" t="s">
        <v>66</v>
      </c>
      <c r="D11" s="28" t="s">
        <v>65</v>
      </c>
      <c r="E11" s="28" t="s">
        <v>65</v>
      </c>
      <c r="F11" s="28" t="s">
        <v>30</v>
      </c>
      <c r="G11" s="28" t="s">
        <v>64</v>
      </c>
      <c r="H11" s="36">
        <v>0.80800000000000005</v>
      </c>
      <c r="I11" s="35">
        <f>B11*H11</f>
        <v>0.80800000000000005</v>
      </c>
      <c r="J11" s="37" t="s">
        <v>63</v>
      </c>
    </row>
    <row r="12" spans="1:10" ht="45" x14ac:dyDescent="0.25">
      <c r="A12" s="8">
        <v>8</v>
      </c>
      <c r="B12" s="28">
        <v>1</v>
      </c>
      <c r="C12" s="28" t="s">
        <v>66</v>
      </c>
      <c r="D12" s="28" t="s">
        <v>67</v>
      </c>
      <c r="E12" s="28" t="s">
        <v>67</v>
      </c>
      <c r="F12" s="28" t="s">
        <v>30</v>
      </c>
      <c r="G12" s="28" t="s">
        <v>68</v>
      </c>
      <c r="H12" s="36">
        <v>0.41299999999999998</v>
      </c>
      <c r="I12" s="35">
        <f t="shared" si="0"/>
        <v>0.41299999999999998</v>
      </c>
      <c r="J12" s="37" t="s">
        <v>69</v>
      </c>
    </row>
    <row r="13" spans="1:10" ht="45" x14ac:dyDescent="0.25">
      <c r="A13" s="8">
        <v>9</v>
      </c>
      <c r="B13" s="28">
        <v>1</v>
      </c>
      <c r="C13" s="28" t="s">
        <v>71</v>
      </c>
      <c r="D13" s="28" t="s">
        <v>72</v>
      </c>
      <c r="E13" s="28" t="s">
        <v>72</v>
      </c>
      <c r="F13" s="28" t="s">
        <v>30</v>
      </c>
      <c r="G13" s="28" t="s">
        <v>73</v>
      </c>
      <c r="H13" s="36">
        <v>0.35299999999999998</v>
      </c>
      <c r="I13" s="35">
        <f t="shared" si="0"/>
        <v>0.35299999999999998</v>
      </c>
      <c r="J13" s="37" t="s">
        <v>70</v>
      </c>
    </row>
    <row r="14" spans="1:10" ht="30" x14ac:dyDescent="0.25">
      <c r="A14" s="8">
        <v>10</v>
      </c>
      <c r="B14" s="28">
        <v>1</v>
      </c>
      <c r="C14" s="28" t="s">
        <v>74</v>
      </c>
      <c r="D14" s="28" t="s">
        <v>75</v>
      </c>
      <c r="E14" s="28" t="s">
        <v>76</v>
      </c>
      <c r="F14" s="28" t="s">
        <v>29</v>
      </c>
      <c r="G14" s="28" t="s">
        <v>77</v>
      </c>
      <c r="H14" s="36">
        <v>0.04</v>
      </c>
      <c r="I14" s="35">
        <f t="shared" si="0"/>
        <v>0.04</v>
      </c>
      <c r="J14" s="37" t="s">
        <v>78</v>
      </c>
    </row>
    <row r="15" spans="1:10" ht="60" x14ac:dyDescent="0.25">
      <c r="A15" s="8">
        <v>11</v>
      </c>
      <c r="B15" s="28">
        <v>2</v>
      </c>
      <c r="C15" s="28" t="s">
        <v>83</v>
      </c>
      <c r="D15" s="28" t="s">
        <v>81</v>
      </c>
      <c r="E15" s="28" t="s">
        <v>80</v>
      </c>
      <c r="F15" s="28" t="s">
        <v>31</v>
      </c>
      <c r="G15" s="28" t="s">
        <v>82</v>
      </c>
      <c r="H15" s="36">
        <v>0.15</v>
      </c>
      <c r="I15" s="35">
        <f t="shared" si="0"/>
        <v>0.3</v>
      </c>
      <c r="J15" s="37" t="s">
        <v>79</v>
      </c>
    </row>
    <row r="16" spans="1:10" ht="45" x14ac:dyDescent="0.25">
      <c r="A16" s="8">
        <v>12</v>
      </c>
      <c r="B16" s="28">
        <v>1</v>
      </c>
      <c r="C16" s="28" t="s">
        <v>88</v>
      </c>
      <c r="D16" s="28" t="s">
        <v>84</v>
      </c>
      <c r="E16" s="28" t="s">
        <v>85</v>
      </c>
      <c r="F16" s="28" t="s">
        <v>31</v>
      </c>
      <c r="G16" s="28" t="s">
        <v>87</v>
      </c>
      <c r="H16" s="36">
        <v>0.05</v>
      </c>
      <c r="I16" s="35">
        <f t="shared" si="0"/>
        <v>0.05</v>
      </c>
      <c r="J16" s="37" t="s">
        <v>86</v>
      </c>
    </row>
    <row r="17" spans="1:10" ht="30" x14ac:dyDescent="0.25">
      <c r="A17" s="8">
        <v>13</v>
      </c>
      <c r="B17" s="28">
        <v>1</v>
      </c>
      <c r="C17" s="28" t="s">
        <v>92</v>
      </c>
      <c r="D17" s="28" t="s">
        <v>90</v>
      </c>
      <c r="E17" s="28" t="s">
        <v>90</v>
      </c>
      <c r="F17" s="28" t="s">
        <v>30</v>
      </c>
      <c r="G17" s="28" t="s">
        <v>91</v>
      </c>
      <c r="H17" s="36">
        <v>5.16</v>
      </c>
      <c r="I17" s="35">
        <f t="shared" si="0"/>
        <v>5.16</v>
      </c>
      <c r="J17" s="37" t="s">
        <v>89</v>
      </c>
    </row>
    <row r="18" spans="1:10" x14ac:dyDescent="0.25">
      <c r="A18" s="8">
        <v>14</v>
      </c>
      <c r="B18" s="28"/>
      <c r="C18" s="28"/>
      <c r="D18" s="28"/>
      <c r="E18" s="28"/>
      <c r="F18" s="28"/>
      <c r="G18" s="28"/>
      <c r="H18" s="36"/>
      <c r="I18" s="35">
        <f t="shared" si="0"/>
        <v>0</v>
      </c>
      <c r="J18" s="37"/>
    </row>
    <row r="19" spans="1:10" x14ac:dyDescent="0.25">
      <c r="A19" s="9">
        <v>15</v>
      </c>
      <c r="B19" s="29"/>
      <c r="C19" s="29"/>
      <c r="D19" s="29"/>
      <c r="E19" s="29"/>
      <c r="F19" s="29"/>
      <c r="G19" s="29"/>
      <c r="H19" s="38"/>
      <c r="I19" s="35">
        <f t="shared" si="0"/>
        <v>0</v>
      </c>
      <c r="J19" s="39"/>
    </row>
    <row r="20" spans="1:10" x14ac:dyDescent="0.25">
      <c r="G20" s="59" t="s">
        <v>1</v>
      </c>
      <c r="H20" s="59"/>
      <c r="I20" s="12">
        <f>SUM(I5:I19)</f>
        <v>19.957999999999998</v>
      </c>
      <c r="J20" s="4"/>
    </row>
    <row r="21" spans="1:10" x14ac:dyDescent="0.25">
      <c r="A21" s="13" t="s">
        <v>24</v>
      </c>
      <c r="B21" s="14"/>
      <c r="C21" s="14"/>
      <c r="D21" s="14"/>
      <c r="E21" s="15"/>
      <c r="G21" s="60" t="s">
        <v>3</v>
      </c>
      <c r="H21" s="60"/>
      <c r="I21" s="10">
        <f>I20*0.19</f>
        <v>3.7920199999999999</v>
      </c>
    </row>
    <row r="22" spans="1:10" x14ac:dyDescent="0.25">
      <c r="A22" s="54" t="s">
        <v>16</v>
      </c>
      <c r="B22" s="55"/>
      <c r="C22" s="16" t="s">
        <v>15</v>
      </c>
      <c r="D22" s="55" t="s">
        <v>17</v>
      </c>
      <c r="E22" s="56"/>
      <c r="G22" s="60" t="s">
        <v>2</v>
      </c>
      <c r="H22" s="60"/>
      <c r="I22" s="11">
        <f>I20*1.19</f>
        <v>23.750019999999996</v>
      </c>
    </row>
    <row r="23" spans="1:10" x14ac:dyDescent="0.25">
      <c r="A23" s="44" t="s">
        <v>29</v>
      </c>
      <c r="B23" s="45"/>
      <c r="C23" s="17" t="s">
        <v>27</v>
      </c>
      <c r="D23" s="48" t="s">
        <v>22</v>
      </c>
      <c r="E23" s="49"/>
    </row>
    <row r="24" spans="1:10" x14ac:dyDescent="0.25">
      <c r="A24" s="44" t="s">
        <v>30</v>
      </c>
      <c r="B24" s="45"/>
      <c r="C24" s="17" t="s">
        <v>26</v>
      </c>
      <c r="D24" s="48" t="s">
        <v>19</v>
      </c>
      <c r="E24" s="49"/>
    </row>
    <row r="25" spans="1:10" x14ac:dyDescent="0.25">
      <c r="A25" s="44" t="s">
        <v>31</v>
      </c>
      <c r="B25" s="45"/>
      <c r="C25" s="17" t="s">
        <v>26</v>
      </c>
      <c r="D25" s="48" t="s">
        <v>13</v>
      </c>
      <c r="E25" s="49"/>
      <c r="H25" t="s">
        <v>12</v>
      </c>
    </row>
    <row r="26" spans="1:10" x14ac:dyDescent="0.25">
      <c r="A26" s="46" t="s">
        <v>32</v>
      </c>
      <c r="B26" s="47"/>
      <c r="C26" s="18" t="s">
        <v>26</v>
      </c>
      <c r="D26" s="50" t="s">
        <v>14</v>
      </c>
      <c r="E26" s="51"/>
    </row>
    <row r="27" spans="1:10" x14ac:dyDescent="0.25">
      <c r="A27" s="46" t="s">
        <v>28</v>
      </c>
      <c r="B27" s="47"/>
      <c r="C27" s="18"/>
      <c r="D27" s="50" t="s">
        <v>33</v>
      </c>
      <c r="E27" s="51"/>
    </row>
    <row r="42" spans="1:10" x14ac:dyDescent="0.25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25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25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25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25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25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25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25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H1:J1"/>
    <mergeCell ref="H2:J2"/>
    <mergeCell ref="G20:H20"/>
    <mergeCell ref="G21:H21"/>
    <mergeCell ref="G22:H22"/>
    <mergeCell ref="A1:B1"/>
    <mergeCell ref="A2:B2"/>
    <mergeCell ref="A22:B22"/>
    <mergeCell ref="A23:B23"/>
    <mergeCell ref="D22:E22"/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  <hyperlink ref="J11" r:id="rId9" xr:uid="{E0F5E5CE-E58B-4232-8792-169F1500BA12}"/>
    <hyperlink ref="J13" r:id="rId10" xr:uid="{85611FA3-DA6B-4401-BC4A-CB8B8F5F9061}"/>
  </hyperlinks>
  <pageMargins left="0.25" right="0.25" top="0.75" bottom="0.75" header="0.3" footer="0.3"/>
  <pageSetup paperSize="9" orientation="landscape" r:id="rId11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2025-10-26T20:32:30Z</dcterms:modified>
</cp:coreProperties>
</file>