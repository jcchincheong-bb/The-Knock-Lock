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Practical Electronics/pe04/schematic-design/"/>
    </mc:Choice>
  </mc:AlternateContent>
  <xr:revisionPtr revIDLastSave="43" documentId="13_ncr:1_{23A68183-9883-4898-B30F-B2C1DE7AC4B9}" xr6:coauthVersionLast="47" xr6:coauthVersionMax="47" xr10:uidLastSave="{610BD965-C685-40A0-9899-7A03DAA8771C}"/>
  <workbookProtection lockStructure="1"/>
  <bookViews>
    <workbookView xWindow="-108" yWindow="-108" windowWidth="23256" windowHeight="1245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5" l="1"/>
  <c r="I12" i="5"/>
  <c r="I5" i="5"/>
  <c r="I6" i="5" l="1"/>
  <c r="I7" i="5"/>
  <c r="I8" i="5"/>
  <c r="I9" i="5"/>
  <c r="I10" i="5"/>
  <c r="I11" i="5"/>
  <c r="I25" i="5" l="1"/>
  <c r="I27" i="5" l="1"/>
  <c r="I26" i="5"/>
</calcChain>
</file>

<file path=xl/sharedStrings.xml><?xml version="1.0" encoding="utf-8"?>
<sst xmlns="http://schemas.openxmlformats.org/spreadsheetml/2006/main" count="93" uniqueCount="82">
  <si>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</si>
  <si>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</si>
  <si>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</si>
  <si>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</si>
  <si>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</si>
  <si>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</si>
  <si>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</si>
  <si>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</si>
  <si>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</si>
  <si>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</si>
  <si>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</si>
  <si>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</si>
  <si>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</si>
  <si>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</si>
  <si>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</si>
  <si>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</si>
  <si>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</si>
  <si>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</si>
  <si>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</si>
  <si>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</si>
  <si>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</si>
  <si>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</si>
  <si>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</si>
  <si>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</si>
  <si>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</si>
  <si>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</si>
  <si>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</si>
  <si>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</si>
  <si>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</si>
  <si>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</si>
  <si>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</si>
  <si>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</si>
  <si>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</si>
  <si>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</si>
  <si>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04</t>
  </si>
  <si>
    <t>23/10/2025</t>
  </si>
  <si>
    <t>Justin Chin Cheong, Abhinav Kothari</t>
  </si>
  <si>
    <t>Knock Lock</t>
  </si>
  <si>
    <t>Keystone Electronics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</si>
  <si>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</si>
  <si>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</si>
  <si>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</si>
  <si>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</si>
  <si>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534-2477</t>
  </si>
  <si>
    <t>https://www.mouser.de/ProductDetail/Keystone-Electronics/2477?qs=Q3RoVmURDolEbXnNenQutg%3D%3D</t>
  </si>
  <si>
    <t>Same Sky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</si>
  <si>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</si>
  <si>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</si>
  <si>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</si>
  <si>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</si>
  <si>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</si>
  <si>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</si>
  <si>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</si>
  <si>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</si>
  <si>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</si>
  <si>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https://www.mouser.de/ProductDetail/DFRobot/SER0050?qs=zW32dvEIR3t5syqsDiJx%2Fw%3D%3D</t>
  </si>
  <si>
    <t>SER0050</t>
  </si>
  <si>
    <t>426-SER0050</t>
  </si>
  <si>
    <t>DFRobot</t>
  </si>
  <si>
    <t>https://www.mouser.de/ProductDetail/Same-Sky/UJ2-B-HR-G-TH?qs=HoCaDK9Nz5cuzuu5C%2FN7nw%3D%3D</t>
  </si>
  <si>
    <t>179-UJ2-B-HR-G-TH</t>
  </si>
  <si>
    <t>UJ2-B-HR-G-TH</t>
  </si>
  <si>
    <t>2477 Battery Holder</t>
  </si>
  <si>
    <t>LM2575-3.3WT Voltage Regulator</t>
  </si>
  <si>
    <t>IRLML6402TRPBF MOSFET</t>
  </si>
  <si>
    <t>SER0050 Servo Motor</t>
  </si>
  <si>
    <t>UJ2-B-HR-G-TH USB B Port</t>
  </si>
  <si>
    <t>https://eu.mouser.com/ProductDetail/Vishay-BC-Components/K104K15X7RF5WH5?qs=sGAEpiMZZMuMW9TJLBQkXstS33ZYjGCMau7NPGXn%2F5U%3D</t>
  </si>
  <si>
    <t>Vishay</t>
  </si>
  <si>
    <t>K104K15X7RF5WH5</t>
  </si>
  <si>
    <t>594-K104K15X7RF5WH5</t>
  </si>
  <si>
    <t>Ceramic Capacitor 0.1uF</t>
  </si>
  <si>
    <t>Push Button</t>
  </si>
  <si>
    <t>https://www.mouser.de/ProductDetail/TE-Connectivity-PB/2-1977223-8?qs=WwRK9Mn48WC%252B3bZnlicO2g%3D%3D</t>
  </si>
  <si>
    <t>506-2-1977223-8</t>
  </si>
  <si>
    <t>2-1977223-8</t>
  </si>
  <si>
    <t>TE Connectivity</t>
  </si>
  <si>
    <t>330 uH Inductor</t>
  </si>
  <si>
    <t>Coilcraft</t>
  </si>
  <si>
    <t>RFC0810B-334KE</t>
  </si>
  <si>
    <t>994-RFC0810B-334KE</t>
  </si>
  <si>
    <t>https://www.mouser.de/ProductDetail/Coilcraft/RFC0810B-334KE?qs=ZYnrCdKdyedaHxMGgKKlpw%3D%3D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</si>
</sst>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1" fillId="0" borderId="0" xfId="1" applyAlignment="1">
      <alignment wrapText="1"/>
    </xf>
    <xf numFmtId="0" fontId="3" fillId="0" borderId="0" xfId="0" applyFont="1" applyAlignment="1">
      <alignment horizontal="left" vertical="center" wrapText="1"/>
    </xf>
    <xf numFmtId="0" fontId="0" fillId="0" borderId="17" xfId="0" applyBorder="1" applyAlignment="1" applyProtection="1">
      <alignment horizontal="center" vertical="center" wrapText="1"/>
      <protection locked="0"/>
    </xf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  <xf numFmtId="2" fontId="0" fillId="0" borderId="18" xfId="0" applyNumberFormat="1" applyBorder="1" applyAlignment="1" applyProtection="1">
      <alignment horizontal="center" vertical="center" wrapText="1"/>
      <protection locked="0"/>
    </xf>
    <xf numFmtId="0" fontId="0" fillId="0" borderId="6" xfId="0" applyBorder="1"/>
    <xf numFmtId="0" fontId="0" fillId="0" borderId="6" xfId="0" applyBorder="1" applyAlignment="1" applyProtection="1">
      <alignment horizontal="center" vertical="center" wrapText="1"/>
      <protection locked="0"/>
    </xf>
    <xf numFmtId="2" fontId="0" fillId="0" borderId="6" xfId="0" applyNumberFormat="1" applyBorder="1" applyAlignment="1" applyProtection="1">
      <alignment horizontal="center" vertical="center" wrapText="1"/>
      <protection locked="0"/>
    </xf>
    <xf numFmtId="2" fontId="1" fillId="0" borderId="6" xfId="1" applyNumberFormat="1" applyFill="1" applyBorder="1" applyAlignment="1" applyProtection="1">
      <alignment horizontal="left" vertic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mouser.de/ProductDetail/Infineon-Technologies/IRLML6402TRPBF?qs=9%252BKlkBgLFf0HuZuONx2Ewg%3D%3D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ProductDetail/Same-Sky/UJ2-B-HR-G-TH?qs=HoCaDK9Nz5cuzuu5C%2FN7nw%3D%3D" TargetMode="External"/><Relationship Id="rId5" Type="http://schemas.openxmlformats.org/officeDocument/2006/relationships/hyperlink" Target="https://www.mouser.de/manufacturer/keystone/" TargetMode="External"/><Relationship Id="rId4" Type="http://schemas.openxmlformats.org/officeDocument/2006/relationships/hyperlink" Target="https://www.conrad.biz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4"/>
  <sheetViews>
    <sheetView tabSelected="1" view="pageLayout" topLeftCell="A2" zoomScale="110" zoomScaleNormal="100" zoomScalePageLayoutView="110" workbookViewId="0">
      <selection activeCell="G15" sqref="G15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38" t="s">
        <v>18</v>
      </c>
      <c r="B1" s="39"/>
      <c r="C1" s="16" t="s">
        <v>34</v>
      </c>
      <c r="G1" s="5" t="s">
        <v>23</v>
      </c>
      <c r="H1" s="34" t="s">
        <v>37</v>
      </c>
      <c r="I1" s="34"/>
      <c r="J1" s="34"/>
    </row>
    <row r="2" spans="1:10" x14ac:dyDescent="0.3">
      <c r="A2" s="38" t="s">
        <v>21</v>
      </c>
      <c r="B2" s="39"/>
      <c r="C2" s="17" t="s">
        <v>35</v>
      </c>
      <c r="G2" s="5" t="s">
        <v>20</v>
      </c>
      <c r="H2" s="35" t="s">
        <v>36</v>
      </c>
      <c r="I2" s="35"/>
      <c r="J2" s="35"/>
    </row>
    <row r="4" spans="1:10" ht="43.2" x14ac:dyDescent="0.3">
      <c r="A4" s="4" t="s">
        <v>4</v>
      </c>
      <c r="B4" s="4" t="s">
        <v>25</v>
      </c>
      <c r="C4" s="4" t="s">
        <v>6</v>
      </c>
      <c r="D4" s="4" t="s">
        <v>5</v>
      </c>
      <c r="E4" s="4" t="s">
        <v>7</v>
      </c>
      <c r="F4" s="4" t="s">
        <v>11</v>
      </c>
      <c r="G4" s="4" t="s">
        <v>8</v>
      </c>
      <c r="H4" s="4" t="s">
        <v>9</v>
      </c>
      <c r="I4" s="4" t="s">
        <v>10</v>
      </c>
      <c r="J4" s="4" t="s">
        <v>0</v>
      </c>
    </row>
    <row r="5" spans="1:10" ht="28.8" x14ac:dyDescent="0.3">
      <c r="A5" s="6">
        <v>1</v>
      </c>
      <c r="B5" s="18">
        <v>1</v>
      </c>
      <c r="C5" s="29" t="s">
        <v>38</v>
      </c>
      <c r="D5" s="18" t="s">
        <v>62</v>
      </c>
      <c r="E5" s="21">
        <v>2477</v>
      </c>
      <c r="F5" s="18" t="s">
        <v>30</v>
      </c>
      <c r="G5" s="30" t="s">
        <v>43</v>
      </c>
      <c r="H5" s="23">
        <v>1.87</v>
      </c>
      <c r="I5" s="24">
        <f>B5*H5</f>
        <v>1.87</v>
      </c>
      <c r="J5" s="22" t="s">
        <v>44</v>
      </c>
    </row>
    <row r="6" spans="1:10" ht="43.2" x14ac:dyDescent="0.3">
      <c r="A6" s="6">
        <v>2</v>
      </c>
      <c r="B6" s="18">
        <v>1</v>
      </c>
      <c r="C6" s="18" t="s">
        <v>42</v>
      </c>
      <c r="D6" s="18" t="s">
        <v>63</v>
      </c>
      <c r="E6" s="18" t="s">
        <v>40</v>
      </c>
      <c r="F6" s="18" t="s">
        <v>30</v>
      </c>
      <c r="G6" s="18" t="s">
        <v>41</v>
      </c>
      <c r="H6" s="23">
        <v>1.48</v>
      </c>
      <c r="I6" s="24">
        <f>B6*H6</f>
        <v>1.48</v>
      </c>
      <c r="J6" s="22" t="s">
        <v>39</v>
      </c>
    </row>
    <row r="7" spans="1:10" ht="14.4" customHeight="1" x14ac:dyDescent="0.3">
      <c r="A7" s="6">
        <v>3</v>
      </c>
      <c r="B7" s="19">
        <v>1</v>
      </c>
      <c r="C7" s="19" t="s">
        <v>45</v>
      </c>
      <c r="D7" s="19" t="s">
        <v>66</v>
      </c>
      <c r="E7" s="19" t="s">
        <v>61</v>
      </c>
      <c r="F7" s="19" t="s">
        <v>30</v>
      </c>
      <c r="G7" s="19" t="s">
        <v>60</v>
      </c>
      <c r="H7" s="25">
        <v>1.29</v>
      </c>
      <c r="I7" s="24">
        <f>B7*H7</f>
        <v>1.29</v>
      </c>
      <c r="J7" s="26" t="s">
        <v>59</v>
      </c>
    </row>
    <row r="8" spans="1:10" ht="43.2" x14ac:dyDescent="0.3">
      <c r="A8" s="6">
        <v>4</v>
      </c>
      <c r="B8" s="19">
        <v>1</v>
      </c>
      <c r="C8" s="19" t="s">
        <v>47</v>
      </c>
      <c r="D8" s="19" t="s">
        <v>64</v>
      </c>
      <c r="E8" s="19" t="s">
        <v>48</v>
      </c>
      <c r="F8" s="19" t="s">
        <v>30</v>
      </c>
      <c r="G8" s="19" t="s">
        <v>49</v>
      </c>
      <c r="H8" s="25">
        <v>0.35299999999999998</v>
      </c>
      <c r="I8" s="24">
        <f>B8*H8</f>
        <v>0.35299999999999998</v>
      </c>
      <c r="J8" s="26" t="s">
        <v>46</v>
      </c>
    </row>
    <row r="9" spans="1:10" ht="43.2" x14ac:dyDescent="0.3">
      <c r="A9" s="6">
        <v>5</v>
      </c>
      <c r="B9" s="19">
        <v>4</v>
      </c>
      <c r="C9" s="19" t="s">
        <v>54</v>
      </c>
      <c r="D9" s="19" t="s">
        <v>52</v>
      </c>
      <c r="E9" s="19" t="s">
        <v>51</v>
      </c>
      <c r="F9" s="19" t="s">
        <v>31</v>
      </c>
      <c r="G9" s="19" t="s">
        <v>53</v>
      </c>
      <c r="H9" s="25">
        <v>0.15</v>
      </c>
      <c r="I9" s="24">
        <f>B9*H9</f>
        <v>0.6</v>
      </c>
      <c r="J9" s="26" t="s">
        <v>50</v>
      </c>
    </row>
    <row r="10" spans="1:10" ht="28.8" x14ac:dyDescent="0.3">
      <c r="A10" s="6">
        <v>6</v>
      </c>
      <c r="B10" s="19">
        <v>1</v>
      </c>
      <c r="C10" s="19" t="s">
        <v>58</v>
      </c>
      <c r="D10" s="19" t="s">
        <v>65</v>
      </c>
      <c r="E10" s="19" t="s">
        <v>56</v>
      </c>
      <c r="F10" s="19" t="s">
        <v>30</v>
      </c>
      <c r="G10" s="19" t="s">
        <v>57</v>
      </c>
      <c r="H10" s="25">
        <v>5.16</v>
      </c>
      <c r="I10" s="24">
        <f>B10*H10</f>
        <v>5.16</v>
      </c>
      <c r="J10" s="26" t="s">
        <v>55</v>
      </c>
    </row>
    <row r="11" spans="1:10" ht="43.2" x14ac:dyDescent="0.3">
      <c r="A11" s="6">
        <v>7</v>
      </c>
      <c r="B11" s="20">
        <v>4</v>
      </c>
      <c r="C11" s="20" t="s">
        <v>68</v>
      </c>
      <c r="D11" s="20" t="s">
        <v>71</v>
      </c>
      <c r="E11" s="20" t="s">
        <v>69</v>
      </c>
      <c r="F11" s="20" t="s">
        <v>30</v>
      </c>
      <c r="G11" s="20" t="s">
        <v>70</v>
      </c>
      <c r="H11" s="27">
        <v>0.13</v>
      </c>
      <c r="I11" s="24">
        <f>B11*H11</f>
        <v>0.52</v>
      </c>
      <c r="J11" s="28" t="s">
        <v>67</v>
      </c>
    </row>
    <row r="12" spans="1:10" ht="28.8" x14ac:dyDescent="0.3">
      <c r="A12" s="6">
        <v>8</v>
      </c>
      <c r="B12" s="31">
        <v>1</v>
      </c>
      <c r="C12" s="31" t="s">
        <v>76</v>
      </c>
      <c r="D12" s="19" t="s">
        <v>72</v>
      </c>
      <c r="E12" s="19" t="s">
        <v>75</v>
      </c>
      <c r="F12" s="19" t="s">
        <v>30</v>
      </c>
      <c r="G12" s="19" t="s">
        <v>74</v>
      </c>
      <c r="H12" s="25">
        <v>0.16</v>
      </c>
      <c r="I12" s="24">
        <f t="shared" ref="I12:I13" si="0">B12*H12</f>
        <v>0.16</v>
      </c>
      <c r="J12" s="26" t="s">
        <v>73</v>
      </c>
    </row>
    <row r="13" spans="1:10" ht="28.8" x14ac:dyDescent="0.3">
      <c r="A13" s="6">
        <v>9</v>
      </c>
      <c r="B13" s="19">
        <v>1</v>
      </c>
      <c r="C13" s="31" t="s">
        <v>78</v>
      </c>
      <c r="D13" s="31" t="s">
        <v>77</v>
      </c>
      <c r="E13" s="19" t="s">
        <v>79</v>
      </c>
      <c r="F13" s="19" t="s">
        <v>30</v>
      </c>
      <c r="G13" s="19" t="s">
        <v>80</v>
      </c>
      <c r="H13" s="25">
        <v>1.26</v>
      </c>
      <c r="I13" s="51">
        <f t="shared" si="0"/>
        <v>1.26</v>
      </c>
      <c r="J13" s="26" t="s">
        <v>81</v>
      </c>
    </row>
    <row r="14" spans="1:10" x14ac:dyDescent="0.3">
      <c r="A14" s="6">
        <v>10</v>
      </c>
      <c r="B14" s="52"/>
      <c r="C14" s="52"/>
      <c r="D14" s="52"/>
      <c r="E14" s="52"/>
      <c r="F14" s="52"/>
      <c r="G14" s="52"/>
      <c r="H14" s="52"/>
      <c r="I14" s="52"/>
      <c r="J14" s="52"/>
    </row>
    <row r="15" spans="1:10" x14ac:dyDescent="0.3">
      <c r="A15" s="6">
        <v>11</v>
      </c>
      <c r="B15" s="52"/>
      <c r="C15" s="52"/>
      <c r="D15" s="52"/>
      <c r="E15" s="52"/>
      <c r="F15" s="52"/>
      <c r="G15" s="52"/>
      <c r="H15" s="52"/>
      <c r="I15" s="52"/>
      <c r="J15" s="52"/>
    </row>
    <row r="16" spans="1:10" x14ac:dyDescent="0.3">
      <c r="A16" s="6">
        <v>12</v>
      </c>
      <c r="B16" s="52"/>
      <c r="C16" s="52"/>
      <c r="D16" s="52"/>
      <c r="E16" s="52"/>
      <c r="F16" s="52"/>
      <c r="G16" s="52"/>
      <c r="H16" s="52"/>
      <c r="I16" s="52"/>
      <c r="J16" s="52"/>
    </row>
    <row r="17" spans="1:10" x14ac:dyDescent="0.3">
      <c r="A17" s="6">
        <v>13</v>
      </c>
      <c r="B17" s="52"/>
      <c r="C17" s="52"/>
      <c r="D17" s="52"/>
      <c r="E17" s="52"/>
      <c r="F17" s="52"/>
      <c r="G17" s="52"/>
      <c r="H17" s="52"/>
      <c r="I17" s="52"/>
      <c r="J17" s="52"/>
    </row>
    <row r="18" spans="1:10" ht="14.4" customHeight="1" x14ac:dyDescent="0.3">
      <c r="A18" s="6">
        <v>14</v>
      </c>
      <c r="B18" s="52"/>
      <c r="C18" s="52"/>
      <c r="D18" s="52"/>
      <c r="E18" s="52"/>
      <c r="F18" s="52"/>
      <c r="G18" s="52"/>
      <c r="H18" s="52"/>
      <c r="I18" s="52"/>
      <c r="J18" s="52"/>
    </row>
    <row r="19" spans="1:10" x14ac:dyDescent="0.3">
      <c r="A19" s="6">
        <v>15</v>
      </c>
      <c r="B19" s="52"/>
      <c r="C19" s="52"/>
      <c r="D19" s="52"/>
      <c r="E19" s="52"/>
      <c r="F19" s="52"/>
      <c r="G19" s="52"/>
      <c r="H19" s="52"/>
      <c r="I19" s="52"/>
      <c r="J19" s="52"/>
    </row>
    <row r="20" spans="1:10" x14ac:dyDescent="0.3">
      <c r="A20" s="6">
        <v>16</v>
      </c>
      <c r="B20" s="52"/>
      <c r="C20" s="52"/>
      <c r="D20" s="52"/>
      <c r="E20" s="52"/>
      <c r="F20" s="52"/>
      <c r="G20" s="52"/>
      <c r="H20" s="52"/>
      <c r="I20" s="52"/>
      <c r="J20" s="52"/>
    </row>
    <row r="21" spans="1:10" x14ac:dyDescent="0.3">
      <c r="A21" s="6">
        <v>17</v>
      </c>
      <c r="B21" s="52"/>
      <c r="C21" s="52"/>
      <c r="D21" s="52"/>
      <c r="E21" s="52"/>
      <c r="F21" s="52"/>
      <c r="G21" s="52"/>
      <c r="H21" s="52"/>
      <c r="I21" s="52"/>
      <c r="J21" s="52"/>
    </row>
    <row r="22" spans="1:10" x14ac:dyDescent="0.3">
      <c r="A22" s="6">
        <v>18</v>
      </c>
      <c r="B22" s="52"/>
      <c r="C22" s="52"/>
      <c r="D22" s="52"/>
      <c r="E22" s="52"/>
      <c r="F22" s="52"/>
      <c r="G22" s="52"/>
      <c r="H22" s="52"/>
      <c r="I22" s="52"/>
      <c r="J22" s="52"/>
    </row>
    <row r="23" spans="1:10" x14ac:dyDescent="0.3">
      <c r="A23" s="6">
        <v>19</v>
      </c>
      <c r="B23" s="53"/>
      <c r="C23" s="53"/>
      <c r="D23" s="53"/>
      <c r="E23" s="53"/>
      <c r="F23" s="53"/>
      <c r="G23" s="53"/>
      <c r="H23" s="54"/>
      <c r="I23" s="54"/>
      <c r="J23" s="55"/>
    </row>
    <row r="25" spans="1:10" x14ac:dyDescent="0.3">
      <c r="G25" s="36" t="s">
        <v>1</v>
      </c>
      <c r="H25" s="36"/>
      <c r="I25" s="9">
        <f>SUM(I5:I23)</f>
        <v>12.693</v>
      </c>
      <c r="J25" s="33"/>
    </row>
    <row r="26" spans="1:10" x14ac:dyDescent="0.3">
      <c r="A26" s="10" t="s">
        <v>24</v>
      </c>
      <c r="B26" s="11"/>
      <c r="C26" s="11"/>
      <c r="D26" s="11"/>
      <c r="E26" s="12"/>
      <c r="G26" s="37" t="s">
        <v>3</v>
      </c>
      <c r="H26" s="37"/>
      <c r="I26" s="7">
        <f>I25*0.19</f>
        <v>2.41167</v>
      </c>
      <c r="J26" s="33"/>
    </row>
    <row r="27" spans="1:10" x14ac:dyDescent="0.3">
      <c r="A27" s="40" t="s">
        <v>16</v>
      </c>
      <c r="B27" s="41"/>
      <c r="C27" s="13" t="s">
        <v>15</v>
      </c>
      <c r="D27" s="41" t="s">
        <v>17</v>
      </c>
      <c r="E27" s="44"/>
      <c r="G27" s="37" t="s">
        <v>2</v>
      </c>
      <c r="H27" s="37"/>
      <c r="I27" s="8">
        <f>I25*1.19</f>
        <v>15.104669999999999</v>
      </c>
      <c r="J27" s="33"/>
    </row>
    <row r="28" spans="1:10" x14ac:dyDescent="0.3">
      <c r="A28" s="42" t="s">
        <v>29</v>
      </c>
      <c r="B28" s="43"/>
      <c r="C28" s="14" t="s">
        <v>27</v>
      </c>
      <c r="D28" s="47" t="s">
        <v>22</v>
      </c>
      <c r="E28" s="48"/>
      <c r="I28" s="32"/>
    </row>
    <row r="29" spans="1:10" x14ac:dyDescent="0.3">
      <c r="A29" s="42" t="s">
        <v>30</v>
      </c>
      <c r="B29" s="43"/>
      <c r="C29" s="14" t="s">
        <v>26</v>
      </c>
      <c r="D29" s="47" t="s">
        <v>19</v>
      </c>
      <c r="E29" s="48"/>
    </row>
    <row r="30" spans="1:10" x14ac:dyDescent="0.3">
      <c r="A30" s="42" t="s">
        <v>31</v>
      </c>
      <c r="B30" s="43"/>
      <c r="C30" s="14" t="s">
        <v>26</v>
      </c>
      <c r="D30" s="47" t="s">
        <v>13</v>
      </c>
      <c r="E30" s="48"/>
      <c r="H30" t="s">
        <v>12</v>
      </c>
    </row>
    <row r="31" spans="1:10" x14ac:dyDescent="0.3">
      <c r="A31" s="45" t="s">
        <v>32</v>
      </c>
      <c r="B31" s="46"/>
      <c r="C31" s="15" t="s">
        <v>26</v>
      </c>
      <c r="D31" s="49" t="s">
        <v>14</v>
      </c>
      <c r="E31" s="50"/>
    </row>
    <row r="32" spans="1:10" x14ac:dyDescent="0.3">
      <c r="A32" s="45" t="s">
        <v>28</v>
      </c>
      <c r="B32" s="46"/>
      <c r="C32" s="15"/>
      <c r="D32" s="49" t="s">
        <v>33</v>
      </c>
      <c r="E32" s="50"/>
    </row>
    <row r="47" spans="1:10" x14ac:dyDescent="0.3">
      <c r="A47" s="2"/>
      <c r="B47" s="2"/>
      <c r="C47" s="1"/>
      <c r="D47" s="2"/>
      <c r="E47" s="1"/>
      <c r="F47" s="2"/>
      <c r="G47" s="2"/>
      <c r="H47" s="2"/>
      <c r="I47" s="2"/>
      <c r="J47" s="2"/>
    </row>
    <row r="48" spans="1:10" x14ac:dyDescent="0.3">
      <c r="A48" s="1"/>
      <c r="B48" s="1"/>
      <c r="C48" s="2"/>
      <c r="D48" s="1"/>
      <c r="E48" s="2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1"/>
      <c r="E49" s="1"/>
      <c r="F49" s="2"/>
      <c r="G49" s="1"/>
      <c r="H49" s="1"/>
      <c r="I49" s="1"/>
      <c r="J49" s="3"/>
    </row>
    <row r="50" spans="1:10" x14ac:dyDescent="0.3">
      <c r="A50" s="1"/>
      <c r="B50" s="1"/>
      <c r="C50" s="2"/>
      <c r="D50" s="2"/>
      <c r="E50" s="1"/>
      <c r="F50" s="2"/>
      <c r="G50" s="1"/>
      <c r="H50" s="1"/>
      <c r="I50" s="1"/>
      <c r="J50" s="3"/>
    </row>
    <row r="51" spans="1:10" x14ac:dyDescent="0.3">
      <c r="A51" s="1"/>
      <c r="B51" s="1"/>
      <c r="C51" s="2"/>
      <c r="D51" s="1"/>
      <c r="E51" s="1"/>
      <c r="F51" s="2"/>
      <c r="G51" s="1"/>
      <c r="H51" s="1"/>
      <c r="I51" s="1"/>
      <c r="J51" s="3"/>
    </row>
    <row r="52" spans="1:10" x14ac:dyDescent="0.3">
      <c r="A52" s="1"/>
      <c r="B52" s="1"/>
      <c r="C52" s="1"/>
      <c r="D52" s="1"/>
      <c r="E52" s="1"/>
      <c r="F52" s="2"/>
      <c r="G52" s="1"/>
      <c r="H52" s="1"/>
      <c r="I52" s="1"/>
      <c r="J52" s="3"/>
    </row>
    <row r="53" spans="1:10" x14ac:dyDescent="0.3">
      <c r="A53" s="1"/>
      <c r="B53" s="1"/>
      <c r="C53" s="2"/>
      <c r="D53" s="1"/>
      <c r="E53" s="1"/>
      <c r="F53" s="2"/>
      <c r="G53" s="1"/>
      <c r="H53" s="1"/>
      <c r="I53" s="1"/>
      <c r="J53" s="3"/>
    </row>
    <row r="54" spans="1:10" x14ac:dyDescent="0.3">
      <c r="A54" s="1"/>
      <c r="B54" s="1"/>
      <c r="C54" s="2"/>
      <c r="D54" s="1"/>
      <c r="E54" s="1"/>
      <c r="F54" s="2"/>
      <c r="G54" s="1"/>
      <c r="H54" s="1"/>
      <c r="I54" s="1"/>
      <c r="J54" s="3"/>
    </row>
  </sheetData>
  <mergeCells count="19">
    <mergeCell ref="A29:B29"/>
    <mergeCell ref="A30:B30"/>
    <mergeCell ref="A32:B32"/>
    <mergeCell ref="D28:E28"/>
    <mergeCell ref="D29:E29"/>
    <mergeCell ref="D30:E30"/>
    <mergeCell ref="D32:E32"/>
    <mergeCell ref="A31:B31"/>
    <mergeCell ref="D31:E31"/>
    <mergeCell ref="A1:B1"/>
    <mergeCell ref="A2:B2"/>
    <mergeCell ref="A27:B27"/>
    <mergeCell ref="A28:B28"/>
    <mergeCell ref="D27:E27"/>
    <mergeCell ref="H1:J1"/>
    <mergeCell ref="H2:J2"/>
    <mergeCell ref="G25:H25"/>
    <mergeCell ref="G26:H26"/>
    <mergeCell ref="G27:H27"/>
  </mergeCells>
  <phoneticPr fontId="4" type="noConversion"/>
  <dataValidations disablePrompts="1" count="1">
    <dataValidation type="list" allowBlank="1" showInputMessage="1" showErrorMessage="1" sqref="F23 F16:F20 F5:F13" xr:uid="{00000000-0002-0000-0000-000000000000}">
      <formula1>$A$28:$A$32</formula1>
    </dataValidation>
  </dataValidations>
  <hyperlinks>
    <hyperlink ref="D30" r:id="rId1" xr:uid="{00000000-0004-0000-0000-000000000000}"/>
    <hyperlink ref="D29" r:id="rId2" xr:uid="{00000000-0004-0000-0000-000001000000}"/>
    <hyperlink ref="D28" r:id="rId3" xr:uid="{00000000-0004-0000-0000-000002000000}"/>
    <hyperlink ref="D31" r:id="rId4" xr:uid="{00000000-0004-0000-0000-000004000000}"/>
    <hyperlink ref="C5" r:id="rId5" display="https://www.mouser.de/manufacturer/keystone/" xr:uid="{B1F4DA8D-BD2D-43B5-89B1-25ABF1C0529C}"/>
    <hyperlink ref="J7" r:id="rId6" xr:uid="{E0F5E5CE-E58B-4232-8792-169F1500BA12}"/>
    <hyperlink ref="J8" r:id="rId7" xr:uid="{85611FA3-DA6B-4401-BC4A-CB8B8F5F9061}"/>
  </hyperlinks>
  <pageMargins left="0.25" right="0.25" top="0.75" bottom="0.75" header="0.3" footer="0.3"/>
  <pageSetup paperSize="9" orientation="landscape" r:id="rId8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2025-11-03T14:31:05Z</dcterms:modified>
</cp:coreProperties>
</file>