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Practical Electronics/pe04/schematic-design/"/>
    </mc:Choice>
  </mc:AlternateContent>
  <xr:revisionPtr revIDLastSave="62" documentId="13_ncr:1_{464969A4-1B1D-407B-AA64-E37E3EC13834}" xr6:coauthVersionLast="47" xr6:coauthVersionMax="47" xr10:uidLastSave="{898D3AE7-9E7D-4CFC-9175-944B93E1487F}"/>
  <workbookProtection lockStructure="1"/>
  <bookViews>
    <workbookView xWindow="-108" yWindow="-108" windowWidth="23256" windowHeight="1245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5" l="1"/>
  <c r="I6" i="5" l="1"/>
  <c r="I7" i="5"/>
  <c r="I9" i="5"/>
  <c r="I10" i="5"/>
  <c r="I11" i="5"/>
  <c r="I12" i="5"/>
  <c r="I13" i="5"/>
  <c r="I14" i="5"/>
  <c r="I15" i="5"/>
  <c r="I16" i="5"/>
  <c r="I17" i="5"/>
  <c r="I18" i="5"/>
  <c r="I19" i="5"/>
  <c r="I5" i="5"/>
  <c r="I20" i="5" l="1"/>
  <c r="I22" i="5" s="1"/>
  <c r="I21" i="5" l="1"/>
</calcChain>
</file>

<file path=xl/sharedStrings.xml><?xml version="1.0" encoding="utf-8"?>
<sst xmlns="http://schemas.openxmlformats.org/spreadsheetml/2006/main" count="58" uniqueCount="52">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</sst>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e.hsrw.org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Analog-Devices/ADXL345BCCZ-RL7?qs=WIvQP4zGaninp9Gc%252BCsJzQ%3D%3D" TargetMode="External"/><Relationship Id="rId5" Type="http://schemas.openxmlformats.org/officeDocument/2006/relationships/hyperlink" Target="https://www.mouser.de/ProductDetail/Espressif-Systems/ESP32-C3-WROOM-02-N4?qs=stqOd1AaK7%2FqjTZKEOgfUg%3D%3D" TargetMode="External"/><Relationship Id="rId4" Type="http://schemas.openxmlformats.org/officeDocument/2006/relationships/hyperlink" Target="https://www.conrad.biz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16" zoomScale="139" zoomScaleNormal="100" zoomScalePageLayoutView="139" workbookViewId="0">
      <selection activeCell="E3" sqref="E3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43" t="s">
        <v>18</v>
      </c>
      <c r="B1" s="44"/>
      <c r="C1" s="20" t="s">
        <v>48</v>
      </c>
      <c r="G1" s="6" t="s">
        <v>23</v>
      </c>
      <c r="H1" s="48" t="s">
        <v>51</v>
      </c>
      <c r="I1" s="48"/>
      <c r="J1" s="48"/>
    </row>
    <row r="2" spans="1:10" x14ac:dyDescent="0.3">
      <c r="A2" s="43" t="s">
        <v>21</v>
      </c>
      <c r="B2" s="44"/>
      <c r="C2" s="21" t="s">
        <v>49</v>
      </c>
      <c r="G2" s="6" t="s">
        <v>20</v>
      </c>
      <c r="H2" s="49" t="s">
        <v>50</v>
      </c>
      <c r="I2" s="49"/>
      <c r="J2" s="49"/>
    </row>
    <row r="4" spans="1:10" ht="43.2" x14ac:dyDescent="0.3">
      <c r="A4" s="5" t="s">
        <v>4</v>
      </c>
      <c r="B4" s="5" t="s">
        <v>25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2" customHeight="1" x14ac:dyDescent="0.3">
      <c r="A5" s="7">
        <v>1</v>
      </c>
      <c r="B5" s="22">
        <v>1</v>
      </c>
      <c r="C5" s="23" t="s">
        <v>34</v>
      </c>
      <c r="D5" s="23" t="s">
        <v>38</v>
      </c>
      <c r="E5" s="31" t="s">
        <v>35</v>
      </c>
      <c r="F5" s="23" t="s">
        <v>30</v>
      </c>
      <c r="G5" s="32" t="s">
        <v>36</v>
      </c>
      <c r="H5" s="24">
        <v>3.12</v>
      </c>
      <c r="I5" s="24">
        <f>B5*H5</f>
        <v>3.12</v>
      </c>
      <c r="J5" s="25" t="s">
        <v>37</v>
      </c>
    </row>
    <row r="6" spans="1:10" ht="43.2" x14ac:dyDescent="0.3">
      <c r="A6" s="8">
        <v>2</v>
      </c>
      <c r="B6" s="26">
        <v>1</v>
      </c>
      <c r="C6" s="27" t="s">
        <v>39</v>
      </c>
      <c r="D6" s="27" t="s">
        <v>40</v>
      </c>
      <c r="E6" s="33" t="s">
        <v>41</v>
      </c>
      <c r="F6" s="27" t="s">
        <v>30</v>
      </c>
      <c r="G6" s="33" t="s">
        <v>42</v>
      </c>
      <c r="H6" s="28">
        <v>5.65</v>
      </c>
      <c r="I6" s="24">
        <f t="shared" ref="I6:I19" si="0">B6*H6</f>
        <v>5.65</v>
      </c>
      <c r="J6" s="34" t="s">
        <v>43</v>
      </c>
    </row>
    <row r="7" spans="1:10" ht="40.5" customHeight="1" x14ac:dyDescent="0.3">
      <c r="A7" s="8">
        <v>3</v>
      </c>
      <c r="B7" s="26">
        <v>1</v>
      </c>
      <c r="C7" s="27" t="s">
        <v>46</v>
      </c>
      <c r="D7" s="27" t="s">
        <v>45</v>
      </c>
      <c r="E7" s="27" t="s">
        <v>45</v>
      </c>
      <c r="F7" s="27" t="s">
        <v>30</v>
      </c>
      <c r="G7" s="27" t="s">
        <v>44</v>
      </c>
      <c r="H7" s="28">
        <v>0.48199999999999998</v>
      </c>
      <c r="I7" s="24">
        <f t="shared" si="0"/>
        <v>0.48199999999999998</v>
      </c>
      <c r="J7" s="34" t="s">
        <v>47</v>
      </c>
    </row>
    <row r="8" spans="1:10" x14ac:dyDescent="0.3">
      <c r="A8" s="8">
        <v>4</v>
      </c>
      <c r="B8" s="26"/>
      <c r="C8" s="27"/>
      <c r="D8" s="27"/>
      <c r="E8" s="27"/>
      <c r="F8" s="27"/>
      <c r="G8" s="27"/>
      <c r="H8" s="28"/>
      <c r="I8" s="24">
        <f t="shared" si="0"/>
        <v>0</v>
      </c>
      <c r="J8" s="34"/>
    </row>
    <row r="9" spans="1:10" x14ac:dyDescent="0.3">
      <c r="A9" s="8">
        <v>5</v>
      </c>
      <c r="B9" s="27"/>
      <c r="C9" s="27"/>
      <c r="D9" s="27"/>
      <c r="E9" s="27"/>
      <c r="F9" s="27"/>
      <c r="G9" s="27"/>
      <c r="H9" s="52"/>
      <c r="I9" s="53">
        <f t="shared" si="0"/>
        <v>0</v>
      </c>
      <c r="J9" s="34"/>
    </row>
    <row r="10" spans="1:10" x14ac:dyDescent="0.3">
      <c r="A10" s="8">
        <v>6</v>
      </c>
      <c r="B10" s="27"/>
      <c r="C10" s="27"/>
      <c r="D10" s="27"/>
      <c r="E10" s="27"/>
      <c r="F10" s="27"/>
      <c r="G10" s="27"/>
      <c r="H10" s="52"/>
      <c r="I10" s="53">
        <f t="shared" si="0"/>
        <v>0</v>
      </c>
      <c r="J10" s="34"/>
    </row>
    <row r="11" spans="1:10" x14ac:dyDescent="0.3">
      <c r="A11" s="9">
        <v>7</v>
      </c>
      <c r="B11" s="29"/>
      <c r="C11" s="29"/>
      <c r="D11" s="29"/>
      <c r="E11" s="29"/>
      <c r="F11" s="29"/>
      <c r="G11" s="29"/>
      <c r="H11" s="54"/>
      <c r="I11" s="53">
        <f t="shared" si="0"/>
        <v>0</v>
      </c>
      <c r="J11" s="55"/>
    </row>
    <row r="12" spans="1:10" x14ac:dyDescent="0.3">
      <c r="A12" s="9">
        <v>8</v>
      </c>
      <c r="B12" s="29"/>
      <c r="C12" s="29"/>
      <c r="D12" s="29"/>
      <c r="E12" s="29"/>
      <c r="F12" s="29"/>
      <c r="G12" s="29"/>
      <c r="H12" s="54"/>
      <c r="I12" s="53">
        <f t="shared" si="0"/>
        <v>0</v>
      </c>
      <c r="J12" s="55"/>
    </row>
    <row r="13" spans="1:10" x14ac:dyDescent="0.3">
      <c r="A13" s="9">
        <v>9</v>
      </c>
      <c r="B13" s="29"/>
      <c r="C13" s="29"/>
      <c r="D13" s="29"/>
      <c r="E13" s="29"/>
      <c r="F13" s="29"/>
      <c r="G13" s="29"/>
      <c r="H13" s="54"/>
      <c r="I13" s="53">
        <f t="shared" si="0"/>
        <v>0</v>
      </c>
      <c r="J13" s="55"/>
    </row>
    <row r="14" spans="1:10" x14ac:dyDescent="0.3">
      <c r="A14" s="9">
        <v>10</v>
      </c>
      <c r="B14" s="29"/>
      <c r="C14" s="29"/>
      <c r="D14" s="29"/>
      <c r="E14" s="29"/>
      <c r="F14" s="29"/>
      <c r="G14" s="29"/>
      <c r="H14" s="54"/>
      <c r="I14" s="53">
        <f t="shared" si="0"/>
        <v>0</v>
      </c>
      <c r="J14" s="55"/>
    </row>
    <row r="15" spans="1:10" x14ac:dyDescent="0.3">
      <c r="A15" s="9">
        <v>11</v>
      </c>
      <c r="B15" s="29"/>
      <c r="C15" s="29"/>
      <c r="D15" s="29"/>
      <c r="E15" s="29"/>
      <c r="F15" s="29"/>
      <c r="G15" s="29"/>
      <c r="H15" s="54"/>
      <c r="I15" s="53">
        <f t="shared" si="0"/>
        <v>0</v>
      </c>
      <c r="J15" s="55"/>
    </row>
    <row r="16" spans="1:10" x14ac:dyDescent="0.3">
      <c r="A16" s="9">
        <v>12</v>
      </c>
      <c r="B16" s="29"/>
      <c r="C16" s="29"/>
      <c r="D16" s="29"/>
      <c r="E16" s="29"/>
      <c r="F16" s="29"/>
      <c r="G16" s="29"/>
      <c r="H16" s="54"/>
      <c r="I16" s="53">
        <f t="shared" si="0"/>
        <v>0</v>
      </c>
      <c r="J16" s="55"/>
    </row>
    <row r="17" spans="1:10" x14ac:dyDescent="0.3">
      <c r="A17" s="9">
        <v>13</v>
      </c>
      <c r="B17" s="29"/>
      <c r="C17" s="29"/>
      <c r="D17" s="29"/>
      <c r="E17" s="29"/>
      <c r="F17" s="29"/>
      <c r="G17" s="29"/>
      <c r="H17" s="54"/>
      <c r="I17" s="53">
        <f t="shared" si="0"/>
        <v>0</v>
      </c>
      <c r="J17" s="55"/>
    </row>
    <row r="18" spans="1:10" x14ac:dyDescent="0.3">
      <c r="A18" s="9">
        <v>14</v>
      </c>
      <c r="B18" s="29"/>
      <c r="C18" s="29"/>
      <c r="D18" s="29"/>
      <c r="E18" s="29"/>
      <c r="F18" s="29"/>
      <c r="G18" s="29"/>
      <c r="H18" s="54"/>
      <c r="I18" s="53">
        <f t="shared" si="0"/>
        <v>0</v>
      </c>
      <c r="J18" s="55"/>
    </row>
    <row r="19" spans="1:10" x14ac:dyDescent="0.3">
      <c r="A19" s="10">
        <v>15</v>
      </c>
      <c r="B19" s="30"/>
      <c r="C19" s="30"/>
      <c r="D19" s="30"/>
      <c r="E19" s="30"/>
      <c r="F19" s="30"/>
      <c r="G19" s="30"/>
      <c r="H19" s="56"/>
      <c r="I19" s="53">
        <f t="shared" si="0"/>
        <v>0</v>
      </c>
      <c r="J19" s="57"/>
    </row>
    <row r="20" spans="1:10" x14ac:dyDescent="0.3">
      <c r="G20" s="50" t="s">
        <v>1</v>
      </c>
      <c r="H20" s="50"/>
      <c r="I20" s="13">
        <f>SUM(I5:I19)</f>
        <v>9.2519999999999989</v>
      </c>
      <c r="J20" s="4"/>
    </row>
    <row r="21" spans="1:10" x14ac:dyDescent="0.3">
      <c r="A21" s="14" t="s">
        <v>24</v>
      </c>
      <c r="B21" s="15"/>
      <c r="C21" s="15"/>
      <c r="D21" s="15"/>
      <c r="E21" s="16"/>
      <c r="G21" s="51" t="s">
        <v>3</v>
      </c>
      <c r="H21" s="51"/>
      <c r="I21" s="11">
        <f>I20*0.19</f>
        <v>1.7578799999999999</v>
      </c>
    </row>
    <row r="22" spans="1:10" x14ac:dyDescent="0.3">
      <c r="A22" s="45" t="s">
        <v>16</v>
      </c>
      <c r="B22" s="46"/>
      <c r="C22" s="17" t="s">
        <v>15</v>
      </c>
      <c r="D22" s="46" t="s">
        <v>17</v>
      </c>
      <c r="E22" s="47"/>
      <c r="G22" s="51" t="s">
        <v>2</v>
      </c>
      <c r="H22" s="51"/>
      <c r="I22" s="12">
        <f>I20*1.19</f>
        <v>11.009879999999999</v>
      </c>
    </row>
    <row r="23" spans="1:10" x14ac:dyDescent="0.3">
      <c r="A23" s="35" t="s">
        <v>29</v>
      </c>
      <c r="B23" s="36"/>
      <c r="C23" s="18" t="s">
        <v>27</v>
      </c>
      <c r="D23" s="39" t="s">
        <v>22</v>
      </c>
      <c r="E23" s="40"/>
    </row>
    <row r="24" spans="1:10" x14ac:dyDescent="0.3">
      <c r="A24" s="35" t="s">
        <v>30</v>
      </c>
      <c r="B24" s="36"/>
      <c r="C24" s="18" t="s">
        <v>26</v>
      </c>
      <c r="D24" s="39" t="s">
        <v>19</v>
      </c>
      <c r="E24" s="40"/>
    </row>
    <row r="25" spans="1:10" x14ac:dyDescent="0.3">
      <c r="A25" s="35" t="s">
        <v>31</v>
      </c>
      <c r="B25" s="36"/>
      <c r="C25" s="18" t="s">
        <v>26</v>
      </c>
      <c r="D25" s="39" t="s">
        <v>13</v>
      </c>
      <c r="E25" s="40"/>
      <c r="H25" t="s">
        <v>12</v>
      </c>
    </row>
    <row r="26" spans="1:10" x14ac:dyDescent="0.3">
      <c r="A26" s="37" t="s">
        <v>32</v>
      </c>
      <c r="B26" s="38"/>
      <c r="C26" s="19" t="s">
        <v>26</v>
      </c>
      <c r="D26" s="41" t="s">
        <v>14</v>
      </c>
      <c r="E26" s="42"/>
    </row>
    <row r="27" spans="1:10" x14ac:dyDescent="0.3">
      <c r="A27" s="37" t="s">
        <v>28</v>
      </c>
      <c r="B27" s="38"/>
      <c r="C27" s="19"/>
      <c r="D27" s="41" t="s">
        <v>33</v>
      </c>
      <c r="E27" s="42"/>
    </row>
    <row r="42" spans="1:10" x14ac:dyDescent="0.3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3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3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3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3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3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H1:J1"/>
    <mergeCell ref="H2:J2"/>
    <mergeCell ref="G20:H20"/>
    <mergeCell ref="G21:H21"/>
    <mergeCell ref="G22:H22"/>
    <mergeCell ref="A1:B1"/>
    <mergeCell ref="A2:B2"/>
    <mergeCell ref="A22:B22"/>
    <mergeCell ref="A23:B23"/>
    <mergeCell ref="D22:E22"/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J5" r:id="rId5" xr:uid="{98A04EE6-D62B-4687-AC62-05CBC3BC7F14}"/>
    <hyperlink ref="J6" r:id="rId6" xr:uid="{9F9E23C2-0CE5-4F54-A453-2FB0482436B8}"/>
  </hyperlinks>
  <pageMargins left="0.25" right="0.25" top="0.75" bottom="0.75" header="0.3" footer="0.3"/>
  <pageSetup paperSize="9" orientation="landscape" r:id="rId7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2025-10-23T11:47:55Z</dcterms:modified>
</cp:coreProperties>
</file>